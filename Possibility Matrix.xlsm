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yden/FantasyBball/"/>
    </mc:Choice>
  </mc:AlternateContent>
  <xr:revisionPtr revIDLastSave="0" documentId="8_{962BAACE-BBBF-FD47-B114-A11CC9D09E54}" xr6:coauthVersionLast="47" xr6:coauthVersionMax="47" xr10:uidLastSave="{00000000-0000-0000-0000-000000000000}"/>
  <bookViews>
    <workbookView xWindow="0" yWindow="760" windowWidth="30240" windowHeight="18880" activeTab="14" xr2:uid="{678E05F3-81AE-B144-88AA-B5A585F60054}"/>
  </bookViews>
  <sheets>
    <sheet name="Week 1" sheetId="1" r:id="rId1"/>
    <sheet name="Week 2" sheetId="2" r:id="rId2"/>
    <sheet name="Week 3" sheetId="3" r:id="rId3"/>
    <sheet name="Week 4" sheetId="4" r:id="rId4"/>
    <sheet name="Week 5" sheetId="6" r:id="rId5"/>
    <sheet name="Week 6" sheetId="7" r:id="rId6"/>
    <sheet name="Week 7" sheetId="8" r:id="rId7"/>
    <sheet name="Week 8 &amp; 9" sheetId="10" r:id="rId8"/>
    <sheet name="Week 10" sheetId="11" r:id="rId9"/>
    <sheet name="Week 11" sheetId="15" r:id="rId10"/>
    <sheet name="Week 12" sheetId="17" r:id="rId11"/>
    <sheet name="Week 14" sheetId="18" r:id="rId12"/>
    <sheet name="Week 15" sheetId="19" r:id="rId13"/>
    <sheet name="Week 16" sheetId="20" r:id="rId14"/>
    <sheet name="Week 17" sheetId="21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21" l="1"/>
  <c r="Y9" i="21"/>
  <c r="Z8" i="21"/>
  <c r="Y8" i="21"/>
  <c r="Z3" i="21"/>
  <c r="Y3" i="21"/>
  <c r="Z5" i="21"/>
  <c r="Y5" i="21"/>
  <c r="Z4" i="21"/>
  <c r="Y4" i="21"/>
  <c r="Z12" i="21"/>
  <c r="Y12" i="21"/>
  <c r="Z10" i="21"/>
  <c r="Y10" i="21"/>
  <c r="Z11" i="21"/>
  <c r="Y11" i="21"/>
  <c r="Z7" i="21"/>
  <c r="Y7" i="21"/>
  <c r="Z6" i="21"/>
  <c r="Y6" i="21"/>
  <c r="Z10" i="20"/>
  <c r="Y10" i="20"/>
  <c r="Z7" i="20"/>
  <c r="Y7" i="20"/>
  <c r="Z8" i="20"/>
  <c r="Y8" i="20"/>
  <c r="Z12" i="20"/>
  <c r="Y12" i="20"/>
  <c r="Z9" i="20"/>
  <c r="Y9" i="20"/>
  <c r="Z5" i="20"/>
  <c r="Y5" i="20"/>
  <c r="Z11" i="20"/>
  <c r="Y11" i="20"/>
  <c r="Z3" i="20"/>
  <c r="Y3" i="20"/>
  <c r="Z4" i="20"/>
  <c r="Y4" i="20"/>
  <c r="Z6" i="20"/>
  <c r="Y6" i="20"/>
  <c r="Z3" i="19"/>
  <c r="Y3" i="19"/>
  <c r="Z10" i="19"/>
  <c r="Y10" i="19"/>
  <c r="Z12" i="19"/>
  <c r="Y12" i="19"/>
  <c r="Z5" i="19"/>
  <c r="Y5" i="19"/>
  <c r="Z4" i="19"/>
  <c r="Y4" i="19"/>
  <c r="Z7" i="19"/>
  <c r="Y7" i="19"/>
  <c r="Z8" i="19"/>
  <c r="Y8" i="19"/>
  <c r="Z11" i="19"/>
  <c r="Y11" i="19"/>
  <c r="Z9" i="19"/>
  <c r="Y9" i="19"/>
  <c r="Z6" i="19"/>
  <c r="Y6" i="19"/>
  <c r="Z11" i="17"/>
  <c r="Y11" i="17"/>
  <c r="Z12" i="17"/>
  <c r="Y12" i="17"/>
  <c r="Z10" i="17"/>
  <c r="Y10" i="17"/>
  <c r="Z9" i="17"/>
  <c r="Y9" i="17"/>
  <c r="Z8" i="17"/>
  <c r="Y8" i="17"/>
  <c r="Z4" i="17"/>
  <c r="Y4" i="17"/>
  <c r="Z5" i="17"/>
  <c r="Y5" i="17"/>
  <c r="Z7" i="17"/>
  <c r="Y7" i="17"/>
  <c r="Z3" i="17"/>
  <c r="Y3" i="17"/>
  <c r="Z6" i="17"/>
  <c r="Y6" i="17"/>
  <c r="Z7" i="15"/>
  <c r="Y7" i="15"/>
  <c r="Z3" i="15"/>
  <c r="Y3" i="15"/>
  <c r="Z8" i="15"/>
  <c r="Y8" i="15"/>
  <c r="Z11" i="15"/>
  <c r="Y11" i="15"/>
  <c r="Z10" i="15"/>
  <c r="Y10" i="15"/>
  <c r="Z5" i="15"/>
  <c r="Y5" i="15"/>
  <c r="Z4" i="15"/>
  <c r="Y4" i="15"/>
  <c r="Z12" i="15"/>
  <c r="Y12" i="15"/>
  <c r="Z9" i="15"/>
  <c r="Y9" i="15"/>
  <c r="Z6" i="15"/>
  <c r="Y6" i="15"/>
  <c r="Z10" i="11"/>
  <c r="Y10" i="11"/>
  <c r="Z7" i="11"/>
  <c r="Y7" i="11"/>
  <c r="Z8" i="11"/>
  <c r="Y8" i="11"/>
  <c r="Z5" i="11"/>
  <c r="Y5" i="11"/>
  <c r="Z4" i="11"/>
  <c r="Y4" i="11"/>
  <c r="Z3" i="11"/>
  <c r="Y3" i="11"/>
  <c r="Z9" i="11"/>
  <c r="Y9" i="11"/>
  <c r="Z12" i="11"/>
  <c r="Y12" i="11"/>
  <c r="Z11" i="11"/>
  <c r="Y11" i="11"/>
  <c r="Z6" i="11"/>
  <c r="Y6" i="11"/>
  <c r="Z12" i="10"/>
  <c r="Y12" i="10"/>
  <c r="Z11" i="10"/>
  <c r="Y11" i="10"/>
  <c r="Z10" i="10"/>
  <c r="Y10" i="10"/>
  <c r="Z9" i="10"/>
  <c r="Y9" i="10"/>
  <c r="Z8" i="10"/>
  <c r="Y8" i="10"/>
  <c r="Z7" i="10"/>
  <c r="Y7" i="10"/>
  <c r="Z6" i="10"/>
  <c r="Y6" i="10"/>
  <c r="Z5" i="10"/>
  <c r="Y5" i="10"/>
  <c r="Z4" i="10"/>
  <c r="Y4" i="10"/>
  <c r="Z3" i="10"/>
  <c r="Y3" i="10"/>
  <c r="Z8" i="8"/>
  <c r="Y8" i="8"/>
  <c r="Z6" i="8"/>
  <c r="Y6" i="8"/>
  <c r="Z11" i="8"/>
  <c r="Y11" i="8"/>
  <c r="Z10" i="8"/>
  <c r="Y10" i="8"/>
  <c r="Z9" i="8"/>
  <c r="Y9" i="8"/>
  <c r="Z4" i="8"/>
  <c r="Y4" i="8"/>
  <c r="Z3" i="8"/>
  <c r="Y3" i="8"/>
  <c r="Z12" i="8"/>
  <c r="Y12" i="8"/>
  <c r="Z5" i="8"/>
  <c r="Y5" i="8"/>
  <c r="Z7" i="8"/>
  <c r="Y7" i="8"/>
  <c r="Z8" i="7"/>
  <c r="Y8" i="7"/>
  <c r="Z3" i="7"/>
  <c r="Y3" i="7"/>
  <c r="Z11" i="7"/>
  <c r="Y11" i="7"/>
  <c r="Z4" i="7"/>
  <c r="Y4" i="7"/>
  <c r="Z5" i="7"/>
  <c r="Y5" i="7"/>
  <c r="Z7" i="7"/>
  <c r="Y7" i="7"/>
  <c r="Z10" i="7"/>
  <c r="Z9" i="7"/>
  <c r="Y9" i="7"/>
  <c r="Y10" i="7"/>
  <c r="Z12" i="7"/>
  <c r="Y12" i="7"/>
  <c r="Z6" i="7"/>
  <c r="Y6" i="7"/>
  <c r="Z10" i="6"/>
  <c r="Y10" i="6"/>
  <c r="Z3" i="6"/>
  <c r="Y3" i="6"/>
  <c r="Z9" i="6"/>
  <c r="Y9" i="6"/>
  <c r="Z11" i="6"/>
  <c r="Y11" i="6"/>
  <c r="Z7" i="6"/>
  <c r="Y7" i="6"/>
  <c r="Z8" i="6"/>
  <c r="Y8" i="6"/>
  <c r="Z6" i="6"/>
  <c r="Y6" i="6"/>
  <c r="Z12" i="6"/>
  <c r="Y12" i="6"/>
  <c r="Z4" i="6"/>
  <c r="Y4" i="6"/>
  <c r="Z5" i="6"/>
  <c r="Y5" i="6"/>
  <c r="Z9" i="4"/>
  <c r="Y9" i="4"/>
  <c r="Z7" i="4"/>
  <c r="Y7" i="4"/>
  <c r="Z10" i="4"/>
  <c r="Y10" i="4"/>
  <c r="Z4" i="4"/>
  <c r="Y4" i="4"/>
  <c r="Z5" i="4"/>
  <c r="Y5" i="4"/>
  <c r="Z6" i="4"/>
  <c r="Y6" i="4"/>
  <c r="Z12" i="4"/>
  <c r="Y12" i="4"/>
  <c r="Z8" i="4"/>
  <c r="Y8" i="4"/>
  <c r="Z11" i="4"/>
  <c r="Y11" i="4"/>
  <c r="Z3" i="4"/>
  <c r="Y3" i="4"/>
  <c r="Z10" i="3"/>
  <c r="Y10" i="3"/>
  <c r="Z12" i="3"/>
  <c r="Y12" i="3"/>
  <c r="Z9" i="3"/>
  <c r="Y9" i="3"/>
  <c r="Z6" i="3"/>
  <c r="Y6" i="3"/>
  <c r="Z5" i="3"/>
  <c r="Y5" i="3"/>
  <c r="Z8" i="3"/>
  <c r="Y8" i="3"/>
  <c r="Z7" i="3"/>
  <c r="Z11" i="3"/>
  <c r="Y7" i="3"/>
  <c r="Y11" i="3"/>
  <c r="Z4" i="3"/>
  <c r="Z3" i="3"/>
  <c r="Y4" i="3"/>
  <c r="Y3" i="3"/>
  <c r="AE8" i="2"/>
  <c r="AC8" i="2"/>
  <c r="AB8" i="2"/>
  <c r="AA8" i="2"/>
  <c r="AF9" i="2"/>
  <c r="AE9" i="2"/>
  <c r="AD9" i="2"/>
  <c r="O10" i="2"/>
  <c r="N10" i="2"/>
  <c r="Z3" i="2"/>
  <c r="Z4" i="2"/>
  <c r="Z5" i="2"/>
  <c r="Z6" i="2"/>
  <c r="Z7" i="2"/>
  <c r="Z8" i="2"/>
  <c r="Z9" i="2"/>
  <c r="Z10" i="2"/>
  <c r="Z11" i="2"/>
  <c r="Z12" i="2"/>
  <c r="Y4" i="2"/>
  <c r="Y5" i="2"/>
  <c r="Y6" i="2"/>
  <c r="Y7" i="2"/>
  <c r="Y8" i="2"/>
  <c r="Y9" i="2"/>
  <c r="Y10" i="2"/>
  <c r="Y11" i="2"/>
  <c r="Y12" i="2"/>
  <c r="Y3" i="2"/>
  <c r="O4" i="2"/>
  <c r="N4" i="2"/>
  <c r="O7" i="2"/>
  <c r="N7" i="2"/>
  <c r="O12" i="2"/>
  <c r="N12" i="2"/>
  <c r="O9" i="2"/>
  <c r="N9" i="2"/>
  <c r="O6" i="2"/>
  <c r="N6" i="2"/>
  <c r="O5" i="2"/>
  <c r="N5" i="2"/>
  <c r="O11" i="2"/>
  <c r="N11" i="2"/>
  <c r="O8" i="2"/>
  <c r="N8" i="2"/>
  <c r="O3" i="2"/>
  <c r="N3" i="2"/>
  <c r="AG12" i="2"/>
  <c r="AF12" i="2"/>
  <c r="AE12" i="2"/>
  <c r="AD12" i="2"/>
  <c r="AC12" i="2"/>
  <c r="AB12" i="2"/>
  <c r="AA12" i="2"/>
  <c r="AG11" i="2"/>
  <c r="AF11" i="2"/>
  <c r="AE11" i="2"/>
  <c r="AD11" i="2"/>
  <c r="AC11" i="2"/>
  <c r="AB11" i="2"/>
  <c r="AA11" i="2"/>
  <c r="AG10" i="2"/>
  <c r="AF10" i="2"/>
  <c r="AE10" i="2"/>
  <c r="AD10" i="2"/>
  <c r="AC10" i="2"/>
  <c r="AB10" i="2"/>
  <c r="AA10" i="2"/>
  <c r="AG9" i="2"/>
  <c r="AC9" i="2"/>
  <c r="AB9" i="2"/>
  <c r="AA9" i="2"/>
  <c r="AG8" i="2"/>
  <c r="AF8" i="2"/>
  <c r="AD8" i="2"/>
  <c r="AG7" i="2"/>
  <c r="AF7" i="2"/>
  <c r="AE7" i="2"/>
  <c r="AD7" i="2"/>
  <c r="AC7" i="2"/>
  <c r="AB7" i="2"/>
  <c r="AA7" i="2"/>
  <c r="AG6" i="2"/>
  <c r="AF6" i="2"/>
  <c r="AE6" i="2"/>
  <c r="AD6" i="2"/>
  <c r="AC6" i="2"/>
  <c r="AB6" i="2"/>
  <c r="AA6" i="2"/>
  <c r="AG5" i="2"/>
  <c r="AF5" i="2"/>
  <c r="AE5" i="2"/>
  <c r="AD5" i="2"/>
  <c r="AC5" i="2"/>
  <c r="AB5" i="2"/>
  <c r="AA5" i="2"/>
  <c r="AG4" i="2"/>
  <c r="AF4" i="2"/>
  <c r="AE4" i="2"/>
  <c r="AD4" i="2"/>
  <c r="AC4" i="2"/>
  <c r="AB4" i="2"/>
  <c r="AA4" i="2"/>
  <c r="AG3" i="2"/>
  <c r="AF3" i="2"/>
  <c r="AE3" i="2"/>
  <c r="AD3" i="2"/>
  <c r="AC3" i="2"/>
  <c r="AB3" i="2"/>
  <c r="AA3" i="2"/>
  <c r="Z12" i="1"/>
  <c r="Y12" i="1"/>
  <c r="Z11" i="1"/>
  <c r="Y11" i="1"/>
  <c r="Z10" i="1"/>
  <c r="Y10" i="1"/>
  <c r="Z9" i="1"/>
  <c r="Y9" i="1"/>
  <c r="Z8" i="1"/>
  <c r="Y8" i="1"/>
  <c r="Z7" i="1"/>
  <c r="Y7" i="1"/>
  <c r="Z6" i="1"/>
  <c r="Y6" i="1"/>
  <c r="Z5" i="1"/>
  <c r="Y5" i="1"/>
  <c r="Z4" i="1"/>
  <c r="Y4" i="1"/>
  <c r="Z3" i="1"/>
  <c r="Y3" i="1"/>
  <c r="O9" i="1"/>
  <c r="N9" i="1"/>
  <c r="O4" i="1"/>
  <c r="N4" i="1"/>
  <c r="O8" i="1"/>
  <c r="N8" i="1"/>
  <c r="O12" i="1"/>
  <c r="N12" i="1"/>
  <c r="O5" i="1"/>
  <c r="N5" i="1"/>
  <c r="O6" i="1"/>
  <c r="N6" i="1"/>
  <c r="O11" i="1"/>
  <c r="N11" i="1"/>
  <c r="O10" i="1"/>
  <c r="N10" i="1"/>
  <c r="O7" i="1"/>
  <c r="N7" i="1"/>
  <c r="O3" i="1"/>
  <c r="N3" i="1"/>
  <c r="AA4" i="1"/>
  <c r="AB4" i="1"/>
  <c r="AC4" i="1"/>
  <c r="AD4" i="1"/>
  <c r="AE4" i="1"/>
  <c r="AF4" i="1"/>
  <c r="AG4" i="1"/>
  <c r="AA5" i="1"/>
  <c r="AB5" i="1"/>
  <c r="AC5" i="1"/>
  <c r="AD5" i="1"/>
  <c r="AE5" i="1"/>
  <c r="AF5" i="1"/>
  <c r="AG5" i="1"/>
  <c r="AA6" i="1"/>
  <c r="AB6" i="1"/>
  <c r="AC6" i="1"/>
  <c r="AD6" i="1"/>
  <c r="AE6" i="1"/>
  <c r="AF6" i="1"/>
  <c r="AG6" i="1"/>
  <c r="AA7" i="1"/>
  <c r="AB7" i="1"/>
  <c r="AC7" i="1"/>
  <c r="AD7" i="1"/>
  <c r="AE7" i="1"/>
  <c r="AF7" i="1"/>
  <c r="AG7" i="1"/>
  <c r="AA8" i="1"/>
  <c r="AB8" i="1"/>
  <c r="AC8" i="1"/>
  <c r="AD8" i="1"/>
  <c r="AE8" i="1"/>
  <c r="AF8" i="1"/>
  <c r="AG8" i="1"/>
  <c r="AA9" i="1"/>
  <c r="AB9" i="1"/>
  <c r="AC9" i="1"/>
  <c r="AD9" i="1"/>
  <c r="AE9" i="1"/>
  <c r="AF9" i="1"/>
  <c r="AG9" i="1"/>
  <c r="AA10" i="1"/>
  <c r="AB10" i="1"/>
  <c r="AC10" i="1"/>
  <c r="AD10" i="1"/>
  <c r="AE10" i="1"/>
  <c r="AF10" i="1"/>
  <c r="AG10" i="1"/>
  <c r="AA11" i="1"/>
  <c r="AB11" i="1"/>
  <c r="AC11" i="1"/>
  <c r="AD11" i="1"/>
  <c r="AE11" i="1"/>
  <c r="AF11" i="1"/>
  <c r="AG11" i="1"/>
  <c r="AA12" i="1"/>
  <c r="AB12" i="1"/>
  <c r="AC12" i="1"/>
  <c r="AD12" i="1"/>
  <c r="AE12" i="1"/>
  <c r="AF12" i="1"/>
  <c r="AG12" i="1"/>
  <c r="AB3" i="1"/>
  <c r="AC3" i="1"/>
  <c r="AD3" i="1"/>
  <c r="AE3" i="1"/>
  <c r="AF3" i="1"/>
  <c r="AG3" i="1"/>
  <c r="AA3" i="1"/>
</calcChain>
</file>

<file path=xl/sharedStrings.xml><?xml version="1.0" encoding="utf-8"?>
<sst xmlns="http://schemas.openxmlformats.org/spreadsheetml/2006/main" count="2519" uniqueCount="56">
  <si>
    <t>Team Name</t>
  </si>
  <si>
    <t>FG%</t>
  </si>
  <si>
    <t>FT%</t>
  </si>
  <si>
    <t>3PTM</t>
  </si>
  <si>
    <t>PTS</t>
  </si>
  <si>
    <t>REB</t>
  </si>
  <si>
    <t>AST</t>
  </si>
  <si>
    <t>ST</t>
  </si>
  <si>
    <t>BLK</t>
  </si>
  <si>
    <t>TO</t>
  </si>
  <si>
    <t>Edey is the new Jokić</t>
  </si>
  <si>
    <t>Ben's Best Team</t>
  </si>
  <si>
    <t>Zach's Amazing Team</t>
  </si>
  <si>
    <t>Aidan's Agreeable Team</t>
  </si>
  <si>
    <t>BK’s Big Ballers</t>
  </si>
  <si>
    <t>Ivica Zubat</t>
  </si>
  <si>
    <t>The Real Slim Shai'dy</t>
  </si>
  <si>
    <t>Will's Groovy Team</t>
  </si>
  <si>
    <t>Ben's Glorious Team</t>
  </si>
  <si>
    <t>Aden's Awe-Inspiring Team</t>
  </si>
  <si>
    <t>Last Week</t>
  </si>
  <si>
    <t>This Week</t>
  </si>
  <si>
    <t>Import</t>
  </si>
  <si>
    <t>-</t>
  </si>
  <si>
    <t>7-2</t>
  </si>
  <si>
    <t>6-3</t>
  </si>
  <si>
    <t>3-6</t>
  </si>
  <si>
    <t>8-1</t>
  </si>
  <si>
    <t>2-7</t>
  </si>
  <si>
    <t>5-4</t>
  </si>
  <si>
    <t>4-5</t>
  </si>
  <si>
    <t>1-8</t>
  </si>
  <si>
    <t>Week 1</t>
  </si>
  <si>
    <t>6-2</t>
  </si>
  <si>
    <t>5-3</t>
  </si>
  <si>
    <t>4-4</t>
  </si>
  <si>
    <t>2-6</t>
  </si>
  <si>
    <t>3-5</t>
  </si>
  <si>
    <t>1-7</t>
  </si>
  <si>
    <t>7-1</t>
  </si>
  <si>
    <t>9-0</t>
  </si>
  <si>
    <t>0-9</t>
  </si>
  <si>
    <t>Week 4</t>
  </si>
  <si>
    <t>3-4</t>
  </si>
  <si>
    <t>4-3</t>
  </si>
  <si>
    <t>Week 6</t>
  </si>
  <si>
    <t>Week 7</t>
  </si>
  <si>
    <t>Week 10</t>
  </si>
  <si>
    <t>Week 11</t>
  </si>
  <si>
    <t>5-2</t>
  </si>
  <si>
    <t>2-5</t>
  </si>
  <si>
    <t>Week 12</t>
  </si>
  <si>
    <t xml:space="preserve"> </t>
  </si>
  <si>
    <t>Week 15</t>
  </si>
  <si>
    <t>Week 16</t>
  </si>
  <si>
    <t>Week 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</si>
</sst>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0EE90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FFFF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49" fontId="0" fillId="0" borderId="0" xfId="0" applyNumberFormat="1"/>
    <xf numFmtId="49" fontId="0" fillId="0" borderId="1" xfId="0" applyNumberFormat="1" applyBorder="1" applyAlignment="1">
      <alignment horizontal="center" vertical="center" wrapText="1"/>
    </xf>
    <xf numFmtId="49" fontId="0" fillId="2" borderId="1" xfId="0" applyNumberFormat="1" applyFill="1" applyBorder="1" applyAlignment="1">
      <alignment horizontal="center" vertical="center" wrapText="1"/>
    </xf>
    <xf numFmtId="49" fontId="0" fillId="3" borderId="1" xfId="0" applyNumberForma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 wrapText="1"/>
    </xf>
    <xf numFmtId="49" fontId="0" fillId="0" borderId="4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49" fontId="0" fillId="2" borderId="6" xfId="0" applyNumberForma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49" fontId="0" fillId="3" borderId="8" xfId="0" applyNumberFormat="1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49" fontId="0" fillId="0" borderId="5" xfId="0" applyNumberFormat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49" fontId="0" fillId="2" borderId="8" xfId="0" applyNumberFormat="1" applyFill="1" applyBorder="1" applyAlignment="1">
      <alignment horizontal="center" vertical="center" wrapText="1"/>
    </xf>
    <xf numFmtId="49" fontId="0" fillId="4" borderId="6" xfId="0" applyNumberFormat="1" applyFill="1" applyBorder="1" applyAlignment="1">
      <alignment horizontal="center" vertical="center" wrapText="1"/>
    </xf>
    <xf numFmtId="49" fontId="0" fillId="3" borderId="6" xfId="0" applyNumberFormat="1" applyFill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1A6B5-E842-FF4A-95B5-64084AFC6B74}">
  <sheetPr codeName="Sheet1"/>
  <dimension ref="B1:AT14"/>
  <sheetViews>
    <sheetView zoomScale="89" zoomScaleNormal="150" workbookViewId="0">
      <selection activeCell="X11" sqref="X11:AG11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5" t="s">
        <v>32</v>
      </c>
      <c r="AJ2" s="6" t="s">
        <v>10</v>
      </c>
      <c r="AK2" s="6" t="s">
        <v>11</v>
      </c>
      <c r="AL2" s="6" t="s">
        <v>12</v>
      </c>
      <c r="AM2" s="6" t="s">
        <v>13</v>
      </c>
      <c r="AN2" s="6" t="s">
        <v>14</v>
      </c>
      <c r="AO2" s="6" t="s">
        <v>15</v>
      </c>
      <c r="AP2" s="6" t="s">
        <v>16</v>
      </c>
      <c r="AQ2" s="6" t="s">
        <v>17</v>
      </c>
      <c r="AR2" s="6" t="s">
        <v>18</v>
      </c>
      <c r="AS2" s="7" t="s">
        <v>19</v>
      </c>
      <c r="AT2" s="1"/>
    </row>
    <row r="3" spans="2:46" ht="30" customHeight="1" x14ac:dyDescent="0.2">
      <c r="B3" t="s">
        <v>10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M3" t="s">
        <v>10</v>
      </c>
      <c r="N3">
        <f>222/455</f>
        <v>0.4879120879120879</v>
      </c>
      <c r="O3">
        <f>136/164</f>
        <v>0.82926829268292679</v>
      </c>
      <c r="P3">
        <v>61</v>
      </c>
      <c r="Q3">
        <v>641</v>
      </c>
      <c r="R3">
        <v>252</v>
      </c>
      <c r="S3">
        <v>118</v>
      </c>
      <c r="T3">
        <v>41</v>
      </c>
      <c r="U3">
        <v>31</v>
      </c>
      <c r="V3">
        <v>82</v>
      </c>
      <c r="X3" t="s">
        <v>10</v>
      </c>
      <c r="Y3">
        <f>222/455</f>
        <v>0.4879120879120879</v>
      </c>
      <c r="Z3">
        <f>136/164</f>
        <v>0.82926829268292679</v>
      </c>
      <c r="AA3">
        <f>P3-E3</f>
        <v>61</v>
      </c>
      <c r="AB3">
        <f t="shared" ref="AB3:AG3" si="0">Q3-F3</f>
        <v>641</v>
      </c>
      <c r="AC3">
        <f t="shared" si="0"/>
        <v>252</v>
      </c>
      <c r="AD3">
        <f t="shared" si="0"/>
        <v>118</v>
      </c>
      <c r="AE3">
        <f t="shared" si="0"/>
        <v>41</v>
      </c>
      <c r="AF3">
        <f t="shared" si="0"/>
        <v>31</v>
      </c>
      <c r="AG3">
        <f t="shared" si="0"/>
        <v>82</v>
      </c>
      <c r="AI3" s="8" t="s">
        <v>10</v>
      </c>
      <c r="AJ3" s="2" t="s">
        <v>23</v>
      </c>
      <c r="AK3" s="3" t="s">
        <v>24</v>
      </c>
      <c r="AL3" s="3" t="s">
        <v>25</v>
      </c>
      <c r="AM3" s="3" t="s">
        <v>25</v>
      </c>
      <c r="AN3" s="4" t="s">
        <v>26</v>
      </c>
      <c r="AO3" s="3" t="s">
        <v>24</v>
      </c>
      <c r="AP3" s="3" t="s">
        <v>27</v>
      </c>
      <c r="AQ3" s="3" t="s">
        <v>24</v>
      </c>
      <c r="AR3" s="3" t="s">
        <v>25</v>
      </c>
      <c r="AS3" s="9" t="s">
        <v>24</v>
      </c>
      <c r="AT3" s="1"/>
    </row>
    <row r="4" spans="2:46" ht="30" customHeight="1" x14ac:dyDescent="0.2">
      <c r="B4" t="s">
        <v>11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M4" t="s">
        <v>11</v>
      </c>
      <c r="N4">
        <f>223/469</f>
        <v>0.47547974413646055</v>
      </c>
      <c r="O4">
        <f>112/162</f>
        <v>0.69135802469135799</v>
      </c>
      <c r="P4">
        <v>60</v>
      </c>
      <c r="Q4">
        <v>618</v>
      </c>
      <c r="R4">
        <v>193</v>
      </c>
      <c r="S4">
        <v>134</v>
      </c>
      <c r="T4">
        <v>32</v>
      </c>
      <c r="U4">
        <v>17</v>
      </c>
      <c r="V4">
        <v>74</v>
      </c>
      <c r="X4" t="s">
        <v>11</v>
      </c>
      <c r="Y4">
        <f>223/469</f>
        <v>0.47547974413646055</v>
      </c>
      <c r="Z4">
        <f>112/162</f>
        <v>0.69135802469135799</v>
      </c>
      <c r="AA4">
        <f t="shared" ref="AA4:AA12" si="1">P4-E4</f>
        <v>60</v>
      </c>
      <c r="AB4">
        <f t="shared" ref="AB4:AB12" si="2">Q4-F4</f>
        <v>618</v>
      </c>
      <c r="AC4">
        <f t="shared" ref="AC4:AC12" si="3">R4-G4</f>
        <v>193</v>
      </c>
      <c r="AD4">
        <f t="shared" ref="AD4:AD12" si="4">S4-H4</f>
        <v>134</v>
      </c>
      <c r="AE4">
        <f t="shared" ref="AE4:AE12" si="5">T4-I4</f>
        <v>32</v>
      </c>
      <c r="AF4">
        <f t="shared" ref="AF4:AF12" si="6">U4-J4</f>
        <v>17</v>
      </c>
      <c r="AG4">
        <f t="shared" ref="AG4:AG12" si="7">V4-K4</f>
        <v>74</v>
      </c>
      <c r="AI4" s="8" t="s">
        <v>11</v>
      </c>
      <c r="AJ4" s="4" t="s">
        <v>28</v>
      </c>
      <c r="AK4" s="2" t="s">
        <v>23</v>
      </c>
      <c r="AL4" s="4" t="s">
        <v>26</v>
      </c>
      <c r="AM4" s="3" t="s">
        <v>29</v>
      </c>
      <c r="AN4" s="4" t="s">
        <v>28</v>
      </c>
      <c r="AO4" s="4" t="s">
        <v>30</v>
      </c>
      <c r="AP4" s="4" t="s">
        <v>26</v>
      </c>
      <c r="AQ4" s="4" t="s">
        <v>30</v>
      </c>
      <c r="AR4" s="4" t="s">
        <v>26</v>
      </c>
      <c r="AS4" s="9" t="s">
        <v>29</v>
      </c>
      <c r="AT4" s="1"/>
    </row>
    <row r="5" spans="2:46" ht="30" customHeight="1" x14ac:dyDescent="0.2">
      <c r="B5" t="s">
        <v>12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M5" t="s">
        <v>12</v>
      </c>
      <c r="N5">
        <f>224/481</f>
        <v>0.46569646569646572</v>
      </c>
      <c r="O5">
        <f>122/158</f>
        <v>0.77215189873417722</v>
      </c>
      <c r="P5">
        <v>81</v>
      </c>
      <c r="Q5">
        <v>651</v>
      </c>
      <c r="R5">
        <v>243</v>
      </c>
      <c r="S5">
        <v>126</v>
      </c>
      <c r="T5">
        <v>33</v>
      </c>
      <c r="U5">
        <v>24</v>
      </c>
      <c r="V5">
        <v>105</v>
      </c>
      <c r="X5" t="s">
        <v>12</v>
      </c>
      <c r="Y5">
        <f>224/481</f>
        <v>0.46569646569646572</v>
      </c>
      <c r="Z5">
        <f>122/158</f>
        <v>0.77215189873417722</v>
      </c>
      <c r="AA5">
        <f t="shared" si="1"/>
        <v>81</v>
      </c>
      <c r="AB5">
        <f t="shared" si="2"/>
        <v>651</v>
      </c>
      <c r="AC5">
        <f t="shared" si="3"/>
        <v>243</v>
      </c>
      <c r="AD5">
        <f t="shared" si="4"/>
        <v>126</v>
      </c>
      <c r="AE5">
        <f t="shared" si="5"/>
        <v>33</v>
      </c>
      <c r="AF5">
        <f t="shared" si="6"/>
        <v>24</v>
      </c>
      <c r="AG5">
        <f t="shared" si="7"/>
        <v>105</v>
      </c>
      <c r="AI5" s="8" t="s">
        <v>12</v>
      </c>
      <c r="AJ5" s="4" t="s">
        <v>26</v>
      </c>
      <c r="AK5" s="3" t="s">
        <v>25</v>
      </c>
      <c r="AL5" s="2" t="s">
        <v>23</v>
      </c>
      <c r="AM5" s="3" t="s">
        <v>25</v>
      </c>
      <c r="AN5" s="4" t="s">
        <v>26</v>
      </c>
      <c r="AO5" s="3" t="s">
        <v>29</v>
      </c>
      <c r="AP5" s="3" t="s">
        <v>29</v>
      </c>
      <c r="AQ5" s="3" t="s">
        <v>29</v>
      </c>
      <c r="AR5" s="3" t="s">
        <v>29</v>
      </c>
      <c r="AS5" s="9" t="s">
        <v>24</v>
      </c>
      <c r="AT5" s="1"/>
    </row>
    <row r="6" spans="2:46" ht="30" customHeight="1" x14ac:dyDescent="0.2">
      <c r="B6" t="s">
        <v>13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M6" t="s">
        <v>13</v>
      </c>
      <c r="N6">
        <f>200/432</f>
        <v>0.46296296296296297</v>
      </c>
      <c r="O6">
        <f>129/151</f>
        <v>0.85430463576158944</v>
      </c>
      <c r="P6">
        <v>64</v>
      </c>
      <c r="Q6">
        <v>593</v>
      </c>
      <c r="R6">
        <v>166</v>
      </c>
      <c r="S6">
        <v>115</v>
      </c>
      <c r="T6">
        <v>37</v>
      </c>
      <c r="U6">
        <v>16</v>
      </c>
      <c r="V6">
        <v>65</v>
      </c>
      <c r="X6" t="s">
        <v>13</v>
      </c>
      <c r="Y6">
        <f>200/432</f>
        <v>0.46296296296296297</v>
      </c>
      <c r="Z6">
        <f>129/151</f>
        <v>0.85430463576158944</v>
      </c>
      <c r="AA6">
        <f t="shared" si="1"/>
        <v>64</v>
      </c>
      <c r="AB6">
        <f t="shared" si="2"/>
        <v>593</v>
      </c>
      <c r="AC6">
        <f t="shared" si="3"/>
        <v>166</v>
      </c>
      <c r="AD6">
        <f t="shared" si="4"/>
        <v>115</v>
      </c>
      <c r="AE6">
        <f t="shared" si="5"/>
        <v>37</v>
      </c>
      <c r="AF6">
        <f t="shared" si="6"/>
        <v>16</v>
      </c>
      <c r="AG6">
        <f t="shared" si="7"/>
        <v>65</v>
      </c>
      <c r="AI6" s="8" t="s">
        <v>13</v>
      </c>
      <c r="AJ6" s="4" t="s">
        <v>26</v>
      </c>
      <c r="AK6" s="4" t="s">
        <v>30</v>
      </c>
      <c r="AL6" s="4" t="s">
        <v>26</v>
      </c>
      <c r="AM6" s="2" t="s">
        <v>23</v>
      </c>
      <c r="AN6" s="4" t="s">
        <v>28</v>
      </c>
      <c r="AO6" s="3" t="s">
        <v>25</v>
      </c>
      <c r="AP6" s="3" t="s">
        <v>29</v>
      </c>
      <c r="AQ6" s="3" t="s">
        <v>25</v>
      </c>
      <c r="AR6" s="4" t="s">
        <v>26</v>
      </c>
      <c r="AS6" s="9" t="s">
        <v>25</v>
      </c>
      <c r="AT6" s="1"/>
    </row>
    <row r="7" spans="2:46" ht="30" customHeight="1" x14ac:dyDescent="0.2">
      <c r="B7" t="s">
        <v>14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M7" t="s">
        <v>14</v>
      </c>
      <c r="N7">
        <f>232/501</f>
        <v>0.46307385229540921</v>
      </c>
      <c r="O7">
        <f>125/169</f>
        <v>0.73964497041420119</v>
      </c>
      <c r="P7">
        <v>86</v>
      </c>
      <c r="Q7">
        <v>675</v>
      </c>
      <c r="R7">
        <v>246</v>
      </c>
      <c r="S7">
        <v>123</v>
      </c>
      <c r="T7">
        <v>47</v>
      </c>
      <c r="U7">
        <v>32</v>
      </c>
      <c r="V7">
        <v>71</v>
      </c>
      <c r="X7" t="s">
        <v>14</v>
      </c>
      <c r="Y7">
        <f>232/501</f>
        <v>0.46307385229540921</v>
      </c>
      <c r="Z7">
        <f>125/169</f>
        <v>0.73964497041420119</v>
      </c>
      <c r="AA7">
        <f t="shared" si="1"/>
        <v>86</v>
      </c>
      <c r="AB7">
        <f t="shared" si="2"/>
        <v>675</v>
      </c>
      <c r="AC7">
        <f t="shared" si="3"/>
        <v>246</v>
      </c>
      <c r="AD7">
        <f t="shared" si="4"/>
        <v>123</v>
      </c>
      <c r="AE7">
        <f t="shared" si="5"/>
        <v>47</v>
      </c>
      <c r="AF7">
        <f t="shared" si="6"/>
        <v>32</v>
      </c>
      <c r="AG7">
        <f t="shared" si="7"/>
        <v>71</v>
      </c>
      <c r="AI7" s="8" t="s">
        <v>14</v>
      </c>
      <c r="AJ7" s="3" t="s">
        <v>25</v>
      </c>
      <c r="AK7" s="3" t="s">
        <v>24</v>
      </c>
      <c r="AL7" s="3" t="s">
        <v>25</v>
      </c>
      <c r="AM7" s="3" t="s">
        <v>24</v>
      </c>
      <c r="AN7" s="2" t="s">
        <v>23</v>
      </c>
      <c r="AO7" s="3" t="s">
        <v>25</v>
      </c>
      <c r="AP7" s="3" t="s">
        <v>24</v>
      </c>
      <c r="AQ7" s="3" t="s">
        <v>25</v>
      </c>
      <c r="AR7" s="3" t="s">
        <v>24</v>
      </c>
      <c r="AS7" s="9" t="s">
        <v>27</v>
      </c>
      <c r="AT7" s="1"/>
    </row>
    <row r="8" spans="2:46" ht="30" customHeight="1" x14ac:dyDescent="0.2">
      <c r="B8" t="s">
        <v>15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M8" t="s">
        <v>15</v>
      </c>
      <c r="N8">
        <f>195/423</f>
        <v>0.46099290780141844</v>
      </c>
      <c r="O8">
        <f>111/140</f>
        <v>0.79285714285714282</v>
      </c>
      <c r="P8">
        <v>47</v>
      </c>
      <c r="Q8">
        <v>548</v>
      </c>
      <c r="R8">
        <v>202</v>
      </c>
      <c r="S8">
        <v>132</v>
      </c>
      <c r="T8">
        <v>36</v>
      </c>
      <c r="U8">
        <v>23</v>
      </c>
      <c r="V8">
        <v>67</v>
      </c>
      <c r="X8" t="s">
        <v>15</v>
      </c>
      <c r="Y8">
        <f>195/423</f>
        <v>0.46099290780141844</v>
      </c>
      <c r="Z8">
        <f>111/140</f>
        <v>0.79285714285714282</v>
      </c>
      <c r="AA8">
        <f t="shared" si="1"/>
        <v>47</v>
      </c>
      <c r="AB8">
        <f t="shared" si="2"/>
        <v>548</v>
      </c>
      <c r="AC8">
        <f t="shared" si="3"/>
        <v>202</v>
      </c>
      <c r="AD8">
        <f t="shared" si="4"/>
        <v>132</v>
      </c>
      <c r="AE8">
        <f t="shared" si="5"/>
        <v>36</v>
      </c>
      <c r="AF8">
        <f t="shared" si="6"/>
        <v>23</v>
      </c>
      <c r="AG8">
        <f t="shared" si="7"/>
        <v>67</v>
      </c>
      <c r="AI8" s="8" t="s">
        <v>15</v>
      </c>
      <c r="AJ8" s="4" t="s">
        <v>28</v>
      </c>
      <c r="AK8" s="3" t="s">
        <v>29</v>
      </c>
      <c r="AL8" s="4" t="s">
        <v>30</v>
      </c>
      <c r="AM8" s="4" t="s">
        <v>26</v>
      </c>
      <c r="AN8" s="4" t="s">
        <v>26</v>
      </c>
      <c r="AO8" s="2" t="s">
        <v>23</v>
      </c>
      <c r="AP8" s="4" t="s">
        <v>30</v>
      </c>
      <c r="AQ8" s="4" t="s">
        <v>26</v>
      </c>
      <c r="AR8" s="4" t="s">
        <v>30</v>
      </c>
      <c r="AS8" s="9" t="s">
        <v>27</v>
      </c>
      <c r="AT8" s="1"/>
    </row>
    <row r="9" spans="2:46" ht="30" customHeight="1" x14ac:dyDescent="0.2">
      <c r="B9" t="s">
        <v>16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M9" t="s">
        <v>16</v>
      </c>
      <c r="N9">
        <f>213/463</f>
        <v>0.46004319654427644</v>
      </c>
      <c r="O9">
        <f>146/181</f>
        <v>0.8066298342541437</v>
      </c>
      <c r="P9">
        <v>55</v>
      </c>
      <c r="Q9">
        <v>627</v>
      </c>
      <c r="R9">
        <v>209</v>
      </c>
      <c r="S9">
        <v>144</v>
      </c>
      <c r="T9">
        <v>35</v>
      </c>
      <c r="U9">
        <v>18</v>
      </c>
      <c r="V9">
        <v>85</v>
      </c>
      <c r="X9" t="s">
        <v>16</v>
      </c>
      <c r="Y9">
        <f>213/463</f>
        <v>0.46004319654427644</v>
      </c>
      <c r="Z9">
        <f>146/181</f>
        <v>0.8066298342541437</v>
      </c>
      <c r="AA9">
        <f t="shared" si="1"/>
        <v>55</v>
      </c>
      <c r="AB9">
        <f t="shared" si="2"/>
        <v>627</v>
      </c>
      <c r="AC9">
        <f t="shared" si="3"/>
        <v>209</v>
      </c>
      <c r="AD9">
        <f t="shared" si="4"/>
        <v>144</v>
      </c>
      <c r="AE9">
        <f t="shared" si="5"/>
        <v>35</v>
      </c>
      <c r="AF9">
        <f t="shared" si="6"/>
        <v>18</v>
      </c>
      <c r="AG9">
        <f t="shared" si="7"/>
        <v>85</v>
      </c>
      <c r="AI9" s="8" t="s">
        <v>16</v>
      </c>
      <c r="AJ9" s="4" t="s">
        <v>31</v>
      </c>
      <c r="AK9" s="3" t="s">
        <v>25</v>
      </c>
      <c r="AL9" s="4" t="s">
        <v>30</v>
      </c>
      <c r="AM9" s="4" t="s">
        <v>30</v>
      </c>
      <c r="AN9" s="4" t="s">
        <v>28</v>
      </c>
      <c r="AO9" s="3" t="s">
        <v>29</v>
      </c>
      <c r="AP9" s="2" t="s">
        <v>23</v>
      </c>
      <c r="AQ9" s="3" t="s">
        <v>25</v>
      </c>
      <c r="AR9" s="4" t="s">
        <v>30</v>
      </c>
      <c r="AS9" s="9" t="s">
        <v>24</v>
      </c>
      <c r="AT9" s="1"/>
    </row>
    <row r="10" spans="2:46" ht="30" customHeight="1" x14ac:dyDescent="0.2">
      <c r="B10" t="s">
        <v>17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M10" t="s">
        <v>17</v>
      </c>
      <c r="N10">
        <f>198/450</f>
        <v>0.44</v>
      </c>
      <c r="O10">
        <f>109/133</f>
        <v>0.81954887218045114</v>
      </c>
      <c r="P10">
        <v>51</v>
      </c>
      <c r="Q10">
        <v>556</v>
      </c>
      <c r="R10">
        <v>223</v>
      </c>
      <c r="S10">
        <v>137</v>
      </c>
      <c r="T10">
        <v>32</v>
      </c>
      <c r="U10">
        <v>33</v>
      </c>
      <c r="V10">
        <v>96</v>
      </c>
      <c r="X10" t="s">
        <v>17</v>
      </c>
      <c r="Y10">
        <f>198/450</f>
        <v>0.44</v>
      </c>
      <c r="Z10">
        <f>109/133</f>
        <v>0.81954887218045114</v>
      </c>
      <c r="AA10">
        <f t="shared" si="1"/>
        <v>51</v>
      </c>
      <c r="AB10">
        <f t="shared" si="2"/>
        <v>556</v>
      </c>
      <c r="AC10">
        <f t="shared" si="3"/>
        <v>223</v>
      </c>
      <c r="AD10">
        <f t="shared" si="4"/>
        <v>137</v>
      </c>
      <c r="AE10">
        <f t="shared" si="5"/>
        <v>32</v>
      </c>
      <c r="AF10">
        <f t="shared" si="6"/>
        <v>33</v>
      </c>
      <c r="AG10">
        <f t="shared" si="7"/>
        <v>96</v>
      </c>
      <c r="AI10" s="8" t="s">
        <v>17</v>
      </c>
      <c r="AJ10" s="4" t="s">
        <v>28</v>
      </c>
      <c r="AK10" s="4" t="s">
        <v>30</v>
      </c>
      <c r="AL10" s="4" t="s">
        <v>30</v>
      </c>
      <c r="AM10" s="4" t="s">
        <v>26</v>
      </c>
      <c r="AN10" s="4" t="s">
        <v>26</v>
      </c>
      <c r="AO10" s="3" t="s">
        <v>25</v>
      </c>
      <c r="AP10" s="4" t="s">
        <v>26</v>
      </c>
      <c r="AQ10" s="2" t="s">
        <v>23</v>
      </c>
      <c r="AR10" s="4" t="s">
        <v>26</v>
      </c>
      <c r="AS10" s="9" t="s">
        <v>24</v>
      </c>
      <c r="AT10" s="1"/>
    </row>
    <row r="11" spans="2:46" ht="30" customHeight="1" x14ac:dyDescent="0.2">
      <c r="B11" t="s">
        <v>18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M11" t="s">
        <v>18</v>
      </c>
      <c r="N11">
        <f>222/508</f>
        <v>0.43700787401574803</v>
      </c>
      <c r="O11">
        <f>105/139</f>
        <v>0.75539568345323738</v>
      </c>
      <c r="P11">
        <v>72</v>
      </c>
      <c r="Q11">
        <v>621</v>
      </c>
      <c r="R11">
        <v>243</v>
      </c>
      <c r="S11">
        <v>116</v>
      </c>
      <c r="T11">
        <v>40</v>
      </c>
      <c r="U11">
        <v>40</v>
      </c>
      <c r="V11">
        <v>77</v>
      </c>
      <c r="X11" t="s">
        <v>18</v>
      </c>
      <c r="Y11">
        <f>222/508</f>
        <v>0.43700787401574803</v>
      </c>
      <c r="Z11">
        <f>105/139</f>
        <v>0.75539568345323738</v>
      </c>
      <c r="AA11">
        <f t="shared" si="1"/>
        <v>72</v>
      </c>
      <c r="AB11">
        <f t="shared" si="2"/>
        <v>621</v>
      </c>
      <c r="AC11">
        <f t="shared" si="3"/>
        <v>243</v>
      </c>
      <c r="AD11">
        <f t="shared" si="4"/>
        <v>116</v>
      </c>
      <c r="AE11">
        <f t="shared" si="5"/>
        <v>40</v>
      </c>
      <c r="AF11">
        <f t="shared" si="6"/>
        <v>40</v>
      </c>
      <c r="AG11">
        <f t="shared" si="7"/>
        <v>77</v>
      </c>
      <c r="AI11" s="8" t="s">
        <v>18</v>
      </c>
      <c r="AJ11" s="4" t="s">
        <v>26</v>
      </c>
      <c r="AK11" s="3" t="s">
        <v>25</v>
      </c>
      <c r="AL11" s="4" t="s">
        <v>26</v>
      </c>
      <c r="AM11" s="3" t="s">
        <v>25</v>
      </c>
      <c r="AN11" s="4" t="s">
        <v>28</v>
      </c>
      <c r="AO11" s="3" t="s">
        <v>29</v>
      </c>
      <c r="AP11" s="3" t="s">
        <v>29</v>
      </c>
      <c r="AQ11" s="3" t="s">
        <v>25</v>
      </c>
      <c r="AR11" s="2" t="s">
        <v>23</v>
      </c>
      <c r="AS11" s="9" t="s">
        <v>24</v>
      </c>
      <c r="AT11" s="1"/>
    </row>
    <row r="12" spans="2:46" ht="30" customHeight="1" thickBot="1" x14ac:dyDescent="0.25">
      <c r="B12" t="s">
        <v>19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M12" t="s">
        <v>19</v>
      </c>
      <c r="N12">
        <f>154/353</f>
        <v>0.43626062322946174</v>
      </c>
      <c r="O12">
        <f>80/111</f>
        <v>0.72072072072072069</v>
      </c>
      <c r="P12">
        <v>40</v>
      </c>
      <c r="Q12">
        <v>428</v>
      </c>
      <c r="R12">
        <v>158</v>
      </c>
      <c r="S12">
        <v>119</v>
      </c>
      <c r="T12">
        <v>34</v>
      </c>
      <c r="U12">
        <v>19</v>
      </c>
      <c r="V12">
        <v>59</v>
      </c>
      <c r="X12" t="s">
        <v>19</v>
      </c>
      <c r="Y12">
        <f>154/353</f>
        <v>0.43626062322946174</v>
      </c>
      <c r="Z12">
        <f>80/111</f>
        <v>0.72072072072072069</v>
      </c>
      <c r="AA12">
        <f t="shared" si="1"/>
        <v>40</v>
      </c>
      <c r="AB12">
        <f t="shared" si="2"/>
        <v>428</v>
      </c>
      <c r="AC12">
        <f t="shared" si="3"/>
        <v>158</v>
      </c>
      <c r="AD12">
        <f t="shared" si="4"/>
        <v>119</v>
      </c>
      <c r="AE12">
        <f t="shared" si="5"/>
        <v>34</v>
      </c>
      <c r="AF12">
        <f t="shared" si="6"/>
        <v>19</v>
      </c>
      <c r="AG12">
        <f t="shared" si="7"/>
        <v>59</v>
      </c>
      <c r="AI12" s="10" t="s">
        <v>19</v>
      </c>
      <c r="AJ12" s="11" t="s">
        <v>28</v>
      </c>
      <c r="AK12" s="11" t="s">
        <v>30</v>
      </c>
      <c r="AL12" s="11" t="s">
        <v>28</v>
      </c>
      <c r="AM12" s="11" t="s">
        <v>26</v>
      </c>
      <c r="AN12" s="11" t="s">
        <v>31</v>
      </c>
      <c r="AO12" s="11" t="s">
        <v>31</v>
      </c>
      <c r="AP12" s="11" t="s">
        <v>28</v>
      </c>
      <c r="AQ12" s="11" t="s">
        <v>28</v>
      </c>
      <c r="AR12" s="11" t="s">
        <v>28</v>
      </c>
      <c r="AS12" s="12" t="s">
        <v>23</v>
      </c>
      <c r="AT12" s="1"/>
    </row>
    <row r="13" spans="2:46" x14ac:dyDescent="0.2"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</row>
    <row r="14" spans="2:46" x14ac:dyDescent="0.2"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B9DE9-B464-CB4E-A4CA-26E83119BE70}">
  <sheetPr codeName="Sheet2"/>
  <dimension ref="B1:AT14"/>
  <sheetViews>
    <sheetView zoomScale="75" zoomScaleNormal="100" workbookViewId="0">
      <selection activeCell="M2" sqref="M2:V12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0</v>
      </c>
      <c r="AJ2" s="6" t="s">
        <v>10</v>
      </c>
      <c r="AK2" s="6" t="s">
        <v>11</v>
      </c>
      <c r="AL2" s="6" t="s">
        <v>12</v>
      </c>
      <c r="AM2" s="6" t="s">
        <v>13</v>
      </c>
      <c r="AN2" s="6" t="s">
        <v>15</v>
      </c>
      <c r="AO2" s="6" t="s">
        <v>16</v>
      </c>
      <c r="AP2" s="6" t="s">
        <v>14</v>
      </c>
      <c r="AQ2" s="6" t="s">
        <v>18</v>
      </c>
      <c r="AR2" s="6" t="s">
        <v>17</v>
      </c>
      <c r="AS2" s="7" t="s">
        <v>19</v>
      </c>
      <c r="AT2" s="1"/>
    </row>
    <row r="3" spans="2:46" ht="30" customHeight="1" x14ac:dyDescent="0.2">
      <c r="B3" t="s">
        <v>10</v>
      </c>
      <c r="C3">
        <v>0.4879120879120879</v>
      </c>
      <c r="D3">
        <v>0.82926829268292679</v>
      </c>
      <c r="E3">
        <v>61</v>
      </c>
      <c r="F3">
        <v>641</v>
      </c>
      <c r="G3">
        <v>252</v>
      </c>
      <c r="H3">
        <v>118</v>
      </c>
      <c r="I3">
        <v>41</v>
      </c>
      <c r="J3">
        <v>31</v>
      </c>
      <c r="K3">
        <v>82</v>
      </c>
      <c r="M3" t="s">
        <v>10</v>
      </c>
      <c r="N3">
        <f>309/626</f>
        <v>0.4936102236421725</v>
      </c>
      <c r="O3">
        <f>125/158</f>
        <v>0.79113924050632911</v>
      </c>
      <c r="P3">
        <v>147</v>
      </c>
      <c r="Q3">
        <v>1470</v>
      </c>
      <c r="R3">
        <v>559</v>
      </c>
      <c r="S3">
        <v>300</v>
      </c>
      <c r="T3">
        <v>86</v>
      </c>
      <c r="U3">
        <v>70</v>
      </c>
      <c r="V3">
        <v>176</v>
      </c>
      <c r="X3" t="s">
        <v>10</v>
      </c>
      <c r="Y3">
        <f>N3</f>
        <v>0.4936102236421725</v>
      </c>
      <c r="Z3">
        <f>O3</f>
        <v>0.79113924050632911</v>
      </c>
      <c r="AA3">
        <f>P3-E3</f>
        <v>86</v>
      </c>
      <c r="AB3">
        <f t="shared" ref="AB3:AG12" si="0">Q3-F3</f>
        <v>829</v>
      </c>
      <c r="AC3">
        <f t="shared" si="0"/>
        <v>307</v>
      </c>
      <c r="AD3">
        <f t="shared" si="0"/>
        <v>182</v>
      </c>
      <c r="AE3">
        <f t="shared" si="0"/>
        <v>45</v>
      </c>
      <c r="AF3">
        <f t="shared" si="0"/>
        <v>39</v>
      </c>
      <c r="AG3">
        <f t="shared" si="0"/>
        <v>94</v>
      </c>
      <c r="AI3" s="15" t="s">
        <v>10</v>
      </c>
      <c r="AJ3" s="2" t="s">
        <v>23</v>
      </c>
      <c r="AK3" s="4" t="s">
        <v>30</v>
      </c>
      <c r="AL3" s="3" t="s">
        <v>25</v>
      </c>
      <c r="AM3" s="3" t="s">
        <v>25</v>
      </c>
      <c r="AN3" s="3" t="s">
        <v>24</v>
      </c>
      <c r="AO3" s="3" t="s">
        <v>33</v>
      </c>
      <c r="AP3" s="3" t="s">
        <v>24</v>
      </c>
      <c r="AQ3" s="3" t="s">
        <v>27</v>
      </c>
      <c r="AR3" s="3" t="s">
        <v>29</v>
      </c>
      <c r="AS3" s="9" t="s">
        <v>29</v>
      </c>
    </row>
    <row r="4" spans="2:46" ht="30" customHeight="1" x14ac:dyDescent="0.2">
      <c r="B4" t="s">
        <v>11</v>
      </c>
      <c r="C4">
        <v>0.47547974413646055</v>
      </c>
      <c r="D4">
        <v>0.69135802469135799</v>
      </c>
      <c r="E4">
        <v>60</v>
      </c>
      <c r="F4">
        <v>618</v>
      </c>
      <c r="G4">
        <v>193</v>
      </c>
      <c r="H4">
        <v>134</v>
      </c>
      <c r="I4">
        <v>32</v>
      </c>
      <c r="J4">
        <v>17</v>
      </c>
      <c r="K4">
        <v>74</v>
      </c>
      <c r="M4" t="s">
        <v>11</v>
      </c>
      <c r="N4">
        <f>346/694</f>
        <v>0.49855907780979825</v>
      </c>
      <c r="O4">
        <f>119/160</f>
        <v>0.74375000000000002</v>
      </c>
      <c r="P4">
        <v>156</v>
      </c>
      <c r="Q4">
        <v>1525</v>
      </c>
      <c r="R4">
        <v>481</v>
      </c>
      <c r="S4">
        <v>322</v>
      </c>
      <c r="T4">
        <v>85</v>
      </c>
      <c r="U4">
        <v>34</v>
      </c>
      <c r="V4">
        <v>169</v>
      </c>
      <c r="X4" t="s">
        <v>11</v>
      </c>
      <c r="Y4">
        <f t="shared" ref="Y4:Z12" si="1">N4</f>
        <v>0.49855907780979825</v>
      </c>
      <c r="Z4">
        <f t="shared" si="1"/>
        <v>0.74375000000000002</v>
      </c>
      <c r="AA4">
        <f t="shared" ref="AA4:AA12" si="2">P4-E4</f>
        <v>96</v>
      </c>
      <c r="AB4">
        <f t="shared" si="0"/>
        <v>907</v>
      </c>
      <c r="AC4">
        <f t="shared" si="0"/>
        <v>288</v>
      </c>
      <c r="AD4">
        <f t="shared" si="0"/>
        <v>188</v>
      </c>
      <c r="AE4">
        <f t="shared" si="0"/>
        <v>53</v>
      </c>
      <c r="AF4">
        <f t="shared" si="0"/>
        <v>17</v>
      </c>
      <c r="AG4">
        <f t="shared" si="0"/>
        <v>95</v>
      </c>
      <c r="AI4" s="15" t="s">
        <v>11</v>
      </c>
      <c r="AJ4" s="3" t="s">
        <v>29</v>
      </c>
      <c r="AK4" s="2" t="s">
        <v>23</v>
      </c>
      <c r="AL4" s="4" t="s">
        <v>30</v>
      </c>
      <c r="AM4" s="3" t="s">
        <v>25</v>
      </c>
      <c r="AN4" s="3" t="s">
        <v>25</v>
      </c>
      <c r="AO4" s="3" t="s">
        <v>24</v>
      </c>
      <c r="AP4" s="3" t="s">
        <v>34</v>
      </c>
      <c r="AQ4" s="3" t="s">
        <v>24</v>
      </c>
      <c r="AR4" s="3" t="s">
        <v>29</v>
      </c>
      <c r="AS4" s="9" t="s">
        <v>25</v>
      </c>
    </row>
    <row r="5" spans="2:46" ht="30" customHeight="1" x14ac:dyDescent="0.2">
      <c r="B5" t="s">
        <v>12</v>
      </c>
      <c r="C5">
        <v>0.46569646569646572</v>
      </c>
      <c r="D5">
        <v>0.77215189873417722</v>
      </c>
      <c r="E5">
        <v>81</v>
      </c>
      <c r="F5">
        <v>651</v>
      </c>
      <c r="G5">
        <v>243</v>
      </c>
      <c r="H5">
        <v>126</v>
      </c>
      <c r="I5">
        <v>33</v>
      </c>
      <c r="J5">
        <v>24</v>
      </c>
      <c r="K5">
        <v>105</v>
      </c>
      <c r="M5" t="s">
        <v>12</v>
      </c>
      <c r="N5">
        <f>281/561</f>
        <v>0.50089126559714792</v>
      </c>
      <c r="O5">
        <f>122/160</f>
        <v>0.76249999999999996</v>
      </c>
      <c r="P5">
        <v>156</v>
      </c>
      <c r="Q5">
        <v>1410</v>
      </c>
      <c r="R5">
        <v>492</v>
      </c>
      <c r="S5">
        <v>318</v>
      </c>
      <c r="T5">
        <v>73</v>
      </c>
      <c r="U5">
        <v>49</v>
      </c>
      <c r="V5">
        <v>196</v>
      </c>
      <c r="X5" t="s">
        <v>12</v>
      </c>
      <c r="Y5">
        <f t="shared" si="1"/>
        <v>0.50089126559714792</v>
      </c>
      <c r="Z5">
        <f t="shared" si="1"/>
        <v>0.76249999999999996</v>
      </c>
      <c r="AA5">
        <f t="shared" si="2"/>
        <v>75</v>
      </c>
      <c r="AB5">
        <f t="shared" si="0"/>
        <v>759</v>
      </c>
      <c r="AC5">
        <f t="shared" si="0"/>
        <v>249</v>
      </c>
      <c r="AD5">
        <f t="shared" si="0"/>
        <v>192</v>
      </c>
      <c r="AE5">
        <f t="shared" si="0"/>
        <v>40</v>
      </c>
      <c r="AF5">
        <f t="shared" si="0"/>
        <v>25</v>
      </c>
      <c r="AG5">
        <f t="shared" si="0"/>
        <v>91</v>
      </c>
      <c r="AI5" s="15" t="s">
        <v>12</v>
      </c>
      <c r="AJ5" s="4" t="s">
        <v>26</v>
      </c>
      <c r="AK5" s="3" t="s">
        <v>29</v>
      </c>
      <c r="AL5" s="2" t="s">
        <v>23</v>
      </c>
      <c r="AM5" s="13" t="s">
        <v>35</v>
      </c>
      <c r="AN5" s="3" t="s">
        <v>25</v>
      </c>
      <c r="AO5" s="3" t="s">
        <v>29</v>
      </c>
      <c r="AP5" s="4" t="s">
        <v>30</v>
      </c>
      <c r="AQ5" s="3" t="s">
        <v>24</v>
      </c>
      <c r="AR5" s="13" t="s">
        <v>35</v>
      </c>
      <c r="AS5" s="9" t="s">
        <v>25</v>
      </c>
    </row>
    <row r="6" spans="2:46" ht="30" customHeight="1" x14ac:dyDescent="0.2">
      <c r="B6" t="s">
        <v>13</v>
      </c>
      <c r="C6">
        <v>0.46296296296296297</v>
      </c>
      <c r="D6">
        <v>0.85430463576158944</v>
      </c>
      <c r="E6">
        <v>64</v>
      </c>
      <c r="F6">
        <v>593</v>
      </c>
      <c r="G6">
        <v>166</v>
      </c>
      <c r="H6">
        <v>115</v>
      </c>
      <c r="I6">
        <v>37</v>
      </c>
      <c r="J6">
        <v>16</v>
      </c>
      <c r="K6">
        <v>65</v>
      </c>
      <c r="M6" t="s">
        <v>13</v>
      </c>
      <c r="N6">
        <f>272/577</f>
        <v>0.47140381282495669</v>
      </c>
      <c r="O6">
        <f>133/150</f>
        <v>0.88666666666666671</v>
      </c>
      <c r="P6">
        <v>153</v>
      </c>
      <c r="Q6">
        <v>1359</v>
      </c>
      <c r="R6">
        <v>365</v>
      </c>
      <c r="S6">
        <v>266</v>
      </c>
      <c r="T6">
        <v>77</v>
      </c>
      <c r="U6">
        <v>40</v>
      </c>
      <c r="V6">
        <v>147</v>
      </c>
      <c r="X6" t="s">
        <v>13</v>
      </c>
      <c r="Y6">
        <f t="shared" si="1"/>
        <v>0.47140381282495669</v>
      </c>
      <c r="Z6">
        <f t="shared" si="1"/>
        <v>0.88666666666666671</v>
      </c>
      <c r="AA6">
        <f t="shared" si="2"/>
        <v>89</v>
      </c>
      <c r="AB6">
        <f t="shared" si="0"/>
        <v>766</v>
      </c>
      <c r="AC6">
        <f t="shared" si="0"/>
        <v>199</v>
      </c>
      <c r="AD6">
        <f t="shared" si="0"/>
        <v>151</v>
      </c>
      <c r="AE6">
        <f t="shared" si="0"/>
        <v>40</v>
      </c>
      <c r="AF6">
        <f t="shared" si="0"/>
        <v>24</v>
      </c>
      <c r="AG6">
        <f t="shared" si="0"/>
        <v>82</v>
      </c>
      <c r="AI6" s="15" t="s">
        <v>13</v>
      </c>
      <c r="AJ6" s="4" t="s">
        <v>26</v>
      </c>
      <c r="AK6" s="4" t="s">
        <v>26</v>
      </c>
      <c r="AL6" s="13" t="s">
        <v>35</v>
      </c>
      <c r="AM6" s="2" t="s">
        <v>23</v>
      </c>
      <c r="AN6" s="3" t="s">
        <v>29</v>
      </c>
      <c r="AO6" s="3" t="s">
        <v>25</v>
      </c>
      <c r="AP6" s="3" t="s">
        <v>25</v>
      </c>
      <c r="AQ6" s="3" t="s">
        <v>25</v>
      </c>
      <c r="AR6" s="3" t="s">
        <v>29</v>
      </c>
      <c r="AS6" s="9" t="s">
        <v>29</v>
      </c>
    </row>
    <row r="7" spans="2:46" ht="30" customHeight="1" x14ac:dyDescent="0.2">
      <c r="B7" t="s">
        <v>15</v>
      </c>
      <c r="C7">
        <v>0.46099290780141844</v>
      </c>
      <c r="D7">
        <v>0.79285714285714282</v>
      </c>
      <c r="E7">
        <v>47</v>
      </c>
      <c r="F7">
        <v>548</v>
      </c>
      <c r="G7">
        <v>202</v>
      </c>
      <c r="H7">
        <v>132</v>
      </c>
      <c r="I7">
        <v>36</v>
      </c>
      <c r="J7">
        <v>23</v>
      </c>
      <c r="K7">
        <v>67</v>
      </c>
      <c r="M7" t="s">
        <v>15</v>
      </c>
      <c r="N7">
        <f>265/571</f>
        <v>0.46409807355516636</v>
      </c>
      <c r="O7">
        <f>110/148</f>
        <v>0.7432432432432432</v>
      </c>
      <c r="P7">
        <v>116</v>
      </c>
      <c r="Q7">
        <v>1257</v>
      </c>
      <c r="R7">
        <v>499</v>
      </c>
      <c r="S7">
        <v>297</v>
      </c>
      <c r="T7">
        <v>87</v>
      </c>
      <c r="U7">
        <v>46</v>
      </c>
      <c r="V7">
        <v>147</v>
      </c>
      <c r="X7" t="s">
        <v>15</v>
      </c>
      <c r="Y7">
        <f t="shared" si="1"/>
        <v>0.46409807355516636</v>
      </c>
      <c r="Z7">
        <f t="shared" si="1"/>
        <v>0.7432432432432432</v>
      </c>
      <c r="AA7">
        <f t="shared" si="2"/>
        <v>69</v>
      </c>
      <c r="AB7">
        <f t="shared" si="0"/>
        <v>709</v>
      </c>
      <c r="AC7">
        <f t="shared" si="0"/>
        <v>297</v>
      </c>
      <c r="AD7">
        <f t="shared" si="0"/>
        <v>165</v>
      </c>
      <c r="AE7">
        <f t="shared" si="0"/>
        <v>51</v>
      </c>
      <c r="AF7">
        <f t="shared" si="0"/>
        <v>23</v>
      </c>
      <c r="AG7">
        <f t="shared" si="0"/>
        <v>80</v>
      </c>
      <c r="AI7" s="15" t="s">
        <v>15</v>
      </c>
      <c r="AJ7" s="4" t="s">
        <v>28</v>
      </c>
      <c r="AK7" s="4" t="s">
        <v>26</v>
      </c>
      <c r="AL7" s="4" t="s">
        <v>26</v>
      </c>
      <c r="AM7" s="4" t="s">
        <v>30</v>
      </c>
      <c r="AN7" s="2" t="s">
        <v>23</v>
      </c>
      <c r="AO7" s="4" t="s">
        <v>30</v>
      </c>
      <c r="AP7" s="3" t="s">
        <v>29</v>
      </c>
      <c r="AQ7" s="3" t="s">
        <v>25</v>
      </c>
      <c r="AR7" s="4" t="s">
        <v>26</v>
      </c>
      <c r="AS7" s="9" t="s">
        <v>25</v>
      </c>
    </row>
    <row r="8" spans="2:46" ht="30" customHeight="1" x14ac:dyDescent="0.2">
      <c r="B8" t="s">
        <v>16</v>
      </c>
      <c r="C8">
        <v>0.46004319654427644</v>
      </c>
      <c r="D8">
        <v>0.8066298342541437</v>
      </c>
      <c r="E8">
        <v>55</v>
      </c>
      <c r="F8">
        <v>627</v>
      </c>
      <c r="G8">
        <v>209</v>
      </c>
      <c r="H8">
        <v>144</v>
      </c>
      <c r="I8">
        <v>35</v>
      </c>
      <c r="J8">
        <v>18</v>
      </c>
      <c r="K8">
        <v>85</v>
      </c>
      <c r="M8" t="s">
        <v>16</v>
      </c>
      <c r="N8">
        <f>272/586</f>
        <v>0.46416382252559729</v>
      </c>
      <c r="O8">
        <f>122/158</f>
        <v>0.77215189873417722</v>
      </c>
      <c r="P8">
        <v>141</v>
      </c>
      <c r="Q8">
        <v>1379</v>
      </c>
      <c r="R8">
        <v>462</v>
      </c>
      <c r="S8">
        <v>330</v>
      </c>
      <c r="T8">
        <v>81</v>
      </c>
      <c r="U8">
        <v>40</v>
      </c>
      <c r="V8">
        <v>184</v>
      </c>
      <c r="X8" t="s">
        <v>16</v>
      </c>
      <c r="Y8">
        <f t="shared" si="1"/>
        <v>0.46416382252559729</v>
      </c>
      <c r="Z8">
        <f t="shared" si="1"/>
        <v>0.77215189873417722</v>
      </c>
      <c r="AA8">
        <f t="shared" si="2"/>
        <v>86</v>
      </c>
      <c r="AB8">
        <f t="shared" si="0"/>
        <v>752</v>
      </c>
      <c r="AC8">
        <f t="shared" si="0"/>
        <v>253</v>
      </c>
      <c r="AD8">
        <f t="shared" si="0"/>
        <v>186</v>
      </c>
      <c r="AE8">
        <f t="shared" si="0"/>
        <v>46</v>
      </c>
      <c r="AF8">
        <f t="shared" si="0"/>
        <v>22</v>
      </c>
      <c r="AG8">
        <f t="shared" si="0"/>
        <v>99</v>
      </c>
      <c r="AI8" s="15" t="s">
        <v>16</v>
      </c>
      <c r="AJ8" s="4" t="s">
        <v>36</v>
      </c>
      <c r="AK8" s="4" t="s">
        <v>28</v>
      </c>
      <c r="AL8" s="4" t="s">
        <v>30</v>
      </c>
      <c r="AM8" s="4" t="s">
        <v>26</v>
      </c>
      <c r="AN8" s="3" t="s">
        <v>29</v>
      </c>
      <c r="AO8" s="2" t="s">
        <v>23</v>
      </c>
      <c r="AP8" s="3" t="s">
        <v>29</v>
      </c>
      <c r="AQ8" s="3" t="s">
        <v>25</v>
      </c>
      <c r="AR8" s="4" t="s">
        <v>37</v>
      </c>
      <c r="AS8" s="9" t="s">
        <v>29</v>
      </c>
    </row>
    <row r="9" spans="2:46" ht="30" customHeight="1" x14ac:dyDescent="0.2">
      <c r="B9" t="s">
        <v>14</v>
      </c>
      <c r="C9">
        <v>0.46307385229540921</v>
      </c>
      <c r="D9">
        <v>0.73964497041420119</v>
      </c>
      <c r="E9">
        <v>86</v>
      </c>
      <c r="F9">
        <v>675</v>
      </c>
      <c r="G9">
        <v>246</v>
      </c>
      <c r="H9">
        <v>123</v>
      </c>
      <c r="I9">
        <v>47</v>
      </c>
      <c r="J9">
        <v>32</v>
      </c>
      <c r="K9">
        <v>71</v>
      </c>
      <c r="M9" t="s">
        <v>14</v>
      </c>
      <c r="N9">
        <f>270/593</f>
        <v>0.45531197301854975</v>
      </c>
      <c r="O9">
        <f>158/193</f>
        <v>0.81865284974093266</v>
      </c>
      <c r="P9">
        <v>171</v>
      </c>
      <c r="Q9">
        <v>1458</v>
      </c>
      <c r="R9">
        <v>539</v>
      </c>
      <c r="S9">
        <v>295</v>
      </c>
      <c r="T9">
        <v>83</v>
      </c>
      <c r="U9">
        <v>49</v>
      </c>
      <c r="V9">
        <v>159</v>
      </c>
      <c r="X9" t="s">
        <v>14</v>
      </c>
      <c r="Y9">
        <f t="shared" si="1"/>
        <v>0.45531197301854975</v>
      </c>
      <c r="Z9">
        <f t="shared" si="1"/>
        <v>0.81865284974093266</v>
      </c>
      <c r="AA9">
        <f t="shared" si="2"/>
        <v>85</v>
      </c>
      <c r="AB9">
        <f t="shared" si="0"/>
        <v>783</v>
      </c>
      <c r="AC9">
        <f t="shared" si="0"/>
        <v>293</v>
      </c>
      <c r="AD9">
        <f t="shared" si="0"/>
        <v>172</v>
      </c>
      <c r="AE9">
        <f t="shared" si="0"/>
        <v>36</v>
      </c>
      <c r="AF9">
        <f t="shared" si="0"/>
        <v>17</v>
      </c>
      <c r="AG9">
        <f t="shared" si="0"/>
        <v>88</v>
      </c>
      <c r="AI9" s="15" t="s">
        <v>14</v>
      </c>
      <c r="AJ9" s="4" t="s">
        <v>28</v>
      </c>
      <c r="AK9" s="4" t="s">
        <v>37</v>
      </c>
      <c r="AL9" s="3" t="s">
        <v>29</v>
      </c>
      <c r="AM9" s="4" t="s">
        <v>26</v>
      </c>
      <c r="AN9" s="4" t="s">
        <v>30</v>
      </c>
      <c r="AO9" s="4" t="s">
        <v>30</v>
      </c>
      <c r="AP9" s="2" t="s">
        <v>23</v>
      </c>
      <c r="AQ9" s="3" t="s">
        <v>25</v>
      </c>
      <c r="AR9" s="4" t="s">
        <v>30</v>
      </c>
      <c r="AS9" s="9" t="s">
        <v>29</v>
      </c>
    </row>
    <row r="10" spans="2:46" ht="30" customHeight="1" x14ac:dyDescent="0.2">
      <c r="B10" t="s">
        <v>18</v>
      </c>
      <c r="C10">
        <v>0.43700787401574803</v>
      </c>
      <c r="D10">
        <v>0.75539568345323738</v>
      </c>
      <c r="E10">
        <v>72</v>
      </c>
      <c r="F10">
        <v>621</v>
      </c>
      <c r="G10">
        <v>243</v>
      </c>
      <c r="H10">
        <v>116</v>
      </c>
      <c r="I10">
        <v>40</v>
      </c>
      <c r="J10">
        <v>40</v>
      </c>
      <c r="K10">
        <v>77</v>
      </c>
      <c r="M10" t="s">
        <v>18</v>
      </c>
      <c r="N10">
        <f>172/365</f>
        <v>0.47123287671232877</v>
      </c>
      <c r="O10">
        <f>76/106</f>
        <v>0.71698113207547165</v>
      </c>
      <c r="P10">
        <v>129</v>
      </c>
      <c r="Q10">
        <v>1098</v>
      </c>
      <c r="R10">
        <v>468</v>
      </c>
      <c r="S10">
        <v>217</v>
      </c>
      <c r="T10">
        <v>71</v>
      </c>
      <c r="U10">
        <v>71</v>
      </c>
      <c r="V10">
        <v>141</v>
      </c>
      <c r="X10" t="s">
        <v>18</v>
      </c>
      <c r="Y10">
        <f t="shared" si="1"/>
        <v>0.47123287671232877</v>
      </c>
      <c r="Z10">
        <f t="shared" si="1"/>
        <v>0.71698113207547165</v>
      </c>
      <c r="AA10">
        <f t="shared" si="2"/>
        <v>57</v>
      </c>
      <c r="AB10">
        <f t="shared" si="0"/>
        <v>477</v>
      </c>
      <c r="AC10">
        <f t="shared" si="0"/>
        <v>225</v>
      </c>
      <c r="AD10">
        <f t="shared" si="0"/>
        <v>101</v>
      </c>
      <c r="AE10">
        <f t="shared" si="0"/>
        <v>31</v>
      </c>
      <c r="AF10">
        <f t="shared" si="0"/>
        <v>31</v>
      </c>
      <c r="AG10">
        <f t="shared" si="0"/>
        <v>64</v>
      </c>
      <c r="AI10" s="15" t="s">
        <v>18</v>
      </c>
      <c r="AJ10" s="4" t="s">
        <v>31</v>
      </c>
      <c r="AK10" s="4" t="s">
        <v>28</v>
      </c>
      <c r="AL10" s="4" t="s">
        <v>28</v>
      </c>
      <c r="AM10" s="4" t="s">
        <v>26</v>
      </c>
      <c r="AN10" s="4" t="s">
        <v>26</v>
      </c>
      <c r="AO10" s="4" t="s">
        <v>26</v>
      </c>
      <c r="AP10" s="4" t="s">
        <v>26</v>
      </c>
      <c r="AQ10" s="2" t="s">
        <v>23</v>
      </c>
      <c r="AR10" s="4" t="s">
        <v>28</v>
      </c>
      <c r="AS10" s="9" t="s">
        <v>29</v>
      </c>
    </row>
    <row r="11" spans="2:46" ht="30" customHeight="1" x14ac:dyDescent="0.2">
      <c r="B11" t="s">
        <v>17</v>
      </c>
      <c r="C11">
        <v>0.44</v>
      </c>
      <c r="D11">
        <v>0.81954887218045114</v>
      </c>
      <c r="E11">
        <v>51</v>
      </c>
      <c r="F11">
        <v>556</v>
      </c>
      <c r="G11">
        <v>223</v>
      </c>
      <c r="H11">
        <v>137</v>
      </c>
      <c r="I11">
        <v>32</v>
      </c>
      <c r="J11">
        <v>33</v>
      </c>
      <c r="K11">
        <v>96</v>
      </c>
      <c r="M11" t="s">
        <v>17</v>
      </c>
      <c r="N11">
        <f>272/594</f>
        <v>0.45791245791245794</v>
      </c>
      <c r="O11">
        <f>112/145</f>
        <v>0.77241379310344827</v>
      </c>
      <c r="P11">
        <v>123</v>
      </c>
      <c r="Q11">
        <v>1284</v>
      </c>
      <c r="R11">
        <v>540</v>
      </c>
      <c r="S11">
        <v>329</v>
      </c>
      <c r="T11">
        <v>78</v>
      </c>
      <c r="U11">
        <v>78</v>
      </c>
      <c r="V11">
        <v>193</v>
      </c>
      <c r="X11" t="s">
        <v>17</v>
      </c>
      <c r="Y11">
        <f t="shared" si="1"/>
        <v>0.45791245791245794</v>
      </c>
      <c r="Z11">
        <f t="shared" si="1"/>
        <v>0.77241379310344827</v>
      </c>
      <c r="AA11">
        <f t="shared" si="2"/>
        <v>72</v>
      </c>
      <c r="AB11">
        <f t="shared" si="0"/>
        <v>728</v>
      </c>
      <c r="AC11">
        <f t="shared" si="0"/>
        <v>317</v>
      </c>
      <c r="AD11">
        <f t="shared" si="0"/>
        <v>192</v>
      </c>
      <c r="AE11">
        <f t="shared" si="0"/>
        <v>46</v>
      </c>
      <c r="AF11">
        <f t="shared" si="0"/>
        <v>45</v>
      </c>
      <c r="AG11">
        <f t="shared" si="0"/>
        <v>97</v>
      </c>
      <c r="AI11" s="15" t="s">
        <v>17</v>
      </c>
      <c r="AJ11" s="4" t="s">
        <v>30</v>
      </c>
      <c r="AK11" s="4" t="s">
        <v>30</v>
      </c>
      <c r="AL11" s="13" t="s">
        <v>35</v>
      </c>
      <c r="AM11" s="4" t="s">
        <v>30</v>
      </c>
      <c r="AN11" s="3" t="s">
        <v>25</v>
      </c>
      <c r="AO11" s="3" t="s">
        <v>34</v>
      </c>
      <c r="AP11" s="3" t="s">
        <v>29</v>
      </c>
      <c r="AQ11" s="3" t="s">
        <v>24</v>
      </c>
      <c r="AR11" s="2" t="s">
        <v>23</v>
      </c>
      <c r="AS11" s="9" t="s">
        <v>25</v>
      </c>
    </row>
    <row r="12" spans="2:46" ht="30" customHeight="1" thickBot="1" x14ac:dyDescent="0.25">
      <c r="B12" t="s">
        <v>19</v>
      </c>
      <c r="C12">
        <v>0.43626062322946174</v>
      </c>
      <c r="D12">
        <v>0.72072072072072069</v>
      </c>
      <c r="E12">
        <v>40</v>
      </c>
      <c r="F12">
        <v>428</v>
      </c>
      <c r="G12">
        <v>158</v>
      </c>
      <c r="H12">
        <v>119</v>
      </c>
      <c r="I12">
        <v>34</v>
      </c>
      <c r="J12">
        <v>19</v>
      </c>
      <c r="K12">
        <v>59</v>
      </c>
      <c r="M12" t="s">
        <v>19</v>
      </c>
      <c r="N12">
        <f>206/453</f>
        <v>0.45474613686534215</v>
      </c>
      <c r="O12">
        <f>135/157</f>
        <v>0.85987261146496818</v>
      </c>
      <c r="P12">
        <v>94</v>
      </c>
      <c r="Q12">
        <v>1029</v>
      </c>
      <c r="R12">
        <v>375</v>
      </c>
      <c r="S12">
        <v>309</v>
      </c>
      <c r="T12">
        <v>82</v>
      </c>
      <c r="U12">
        <v>33</v>
      </c>
      <c r="V12">
        <v>130</v>
      </c>
      <c r="X12" t="s">
        <v>19</v>
      </c>
      <c r="Y12">
        <f t="shared" si="1"/>
        <v>0.45474613686534215</v>
      </c>
      <c r="Z12">
        <f t="shared" si="1"/>
        <v>0.85987261146496818</v>
      </c>
      <c r="AA12">
        <f t="shared" si="2"/>
        <v>54</v>
      </c>
      <c r="AB12">
        <f t="shared" si="0"/>
        <v>601</v>
      </c>
      <c r="AC12">
        <f t="shared" si="0"/>
        <v>217</v>
      </c>
      <c r="AD12">
        <f t="shared" si="0"/>
        <v>190</v>
      </c>
      <c r="AE12">
        <f t="shared" si="0"/>
        <v>48</v>
      </c>
      <c r="AF12">
        <f t="shared" si="0"/>
        <v>14</v>
      </c>
      <c r="AG12">
        <f t="shared" si="0"/>
        <v>71</v>
      </c>
      <c r="AI12" s="16" t="s">
        <v>19</v>
      </c>
      <c r="AJ12" s="11" t="s">
        <v>30</v>
      </c>
      <c r="AK12" s="11" t="s">
        <v>26</v>
      </c>
      <c r="AL12" s="11" t="s">
        <v>26</v>
      </c>
      <c r="AM12" s="11" t="s">
        <v>30</v>
      </c>
      <c r="AN12" s="11" t="s">
        <v>26</v>
      </c>
      <c r="AO12" s="11" t="s">
        <v>30</v>
      </c>
      <c r="AP12" s="11" t="s">
        <v>30</v>
      </c>
      <c r="AQ12" s="11" t="s">
        <v>30</v>
      </c>
      <c r="AR12" s="11" t="s">
        <v>26</v>
      </c>
      <c r="AS12" s="12" t="s">
        <v>23</v>
      </c>
    </row>
    <row r="14" spans="2:46" x14ac:dyDescent="0.2"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DAF91-1648-6B49-A5EA-AF00CBEA8BD3}">
  <sheetPr codeName="Sheet3"/>
  <dimension ref="B1:AT14"/>
  <sheetViews>
    <sheetView topLeftCell="D1" zoomScale="75" zoomScaleNormal="100" workbookViewId="0">
      <selection activeCell="M2" sqref="M2:V12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0</v>
      </c>
      <c r="AJ2" s="6" t="s">
        <v>10</v>
      </c>
      <c r="AK2" s="6" t="s">
        <v>15</v>
      </c>
      <c r="AL2" s="6" t="s">
        <v>12</v>
      </c>
      <c r="AM2" s="6" t="s">
        <v>14</v>
      </c>
      <c r="AN2" s="6" t="s">
        <v>13</v>
      </c>
      <c r="AO2" s="6" t="s">
        <v>19</v>
      </c>
      <c r="AP2" s="6" t="s">
        <v>16</v>
      </c>
      <c r="AQ2" s="6" t="s">
        <v>11</v>
      </c>
      <c r="AR2" s="6" t="s">
        <v>17</v>
      </c>
      <c r="AS2" s="7" t="s">
        <v>18</v>
      </c>
      <c r="AT2" s="1"/>
    </row>
    <row r="3" spans="2:46" ht="30" customHeight="1" x14ac:dyDescent="0.2">
      <c r="B3" t="s">
        <v>10</v>
      </c>
      <c r="C3">
        <v>0.4936102236421725</v>
      </c>
      <c r="D3">
        <v>0.79113924050632911</v>
      </c>
      <c r="E3">
        <v>147</v>
      </c>
      <c r="F3">
        <v>1470</v>
      </c>
      <c r="G3">
        <v>559</v>
      </c>
      <c r="H3">
        <v>300</v>
      </c>
      <c r="I3">
        <v>86</v>
      </c>
      <c r="J3">
        <v>70</v>
      </c>
      <c r="K3">
        <v>176</v>
      </c>
      <c r="M3" t="s">
        <v>10</v>
      </c>
      <c r="N3">
        <v>0.48799999999999999</v>
      </c>
      <c r="O3">
        <v>0.81</v>
      </c>
      <c r="P3">
        <v>219</v>
      </c>
      <c r="Q3">
        <v>2279</v>
      </c>
      <c r="R3">
        <v>857</v>
      </c>
      <c r="S3">
        <v>513</v>
      </c>
      <c r="T3">
        <v>153</v>
      </c>
      <c r="U3">
        <v>112</v>
      </c>
      <c r="V3">
        <v>310</v>
      </c>
      <c r="X3" t="s">
        <v>10</v>
      </c>
      <c r="Y3">
        <f>296/614</f>
        <v>0.48208469055374592</v>
      </c>
      <c r="Z3">
        <f>145/179</f>
        <v>0.81005586592178769</v>
      </c>
      <c r="AA3">
        <v>72</v>
      </c>
      <c r="AB3">
        <v>809</v>
      </c>
      <c r="AC3">
        <v>298</v>
      </c>
      <c r="AD3">
        <v>213</v>
      </c>
      <c r="AE3">
        <v>67</v>
      </c>
      <c r="AF3">
        <v>42</v>
      </c>
      <c r="AG3">
        <v>134</v>
      </c>
      <c r="AI3" s="15" t="s">
        <v>10</v>
      </c>
      <c r="AJ3" s="2" t="s">
        <v>23</v>
      </c>
      <c r="AK3" s="3" t="s">
        <v>29</v>
      </c>
      <c r="AL3" s="3" t="s">
        <v>27</v>
      </c>
      <c r="AM3" s="3" t="s">
        <v>25</v>
      </c>
      <c r="AN3" s="3" t="s">
        <v>24</v>
      </c>
      <c r="AO3" s="4" t="s">
        <v>30</v>
      </c>
      <c r="AP3" s="3" t="s">
        <v>25</v>
      </c>
      <c r="AQ3" s="3" t="s">
        <v>24</v>
      </c>
      <c r="AR3" s="4" t="s">
        <v>30</v>
      </c>
      <c r="AS3" s="9" t="s">
        <v>24</v>
      </c>
    </row>
    <row r="4" spans="2:46" ht="30" customHeight="1" x14ac:dyDescent="0.2">
      <c r="B4" t="s">
        <v>11</v>
      </c>
      <c r="C4">
        <v>0.49855907780979825</v>
      </c>
      <c r="D4">
        <v>0.74375000000000002</v>
      </c>
      <c r="E4">
        <v>156</v>
      </c>
      <c r="F4">
        <v>1525</v>
      </c>
      <c r="G4">
        <v>481</v>
      </c>
      <c r="H4">
        <v>322</v>
      </c>
      <c r="I4">
        <v>85</v>
      </c>
      <c r="J4">
        <v>34</v>
      </c>
      <c r="K4">
        <v>169</v>
      </c>
      <c r="M4" t="s">
        <v>15</v>
      </c>
      <c r="N4">
        <v>0.47899999999999998</v>
      </c>
      <c r="O4">
        <v>0.79500000000000004</v>
      </c>
      <c r="P4">
        <v>195</v>
      </c>
      <c r="Q4">
        <v>2019</v>
      </c>
      <c r="R4">
        <v>741</v>
      </c>
      <c r="S4">
        <v>436</v>
      </c>
      <c r="T4">
        <v>130</v>
      </c>
      <c r="U4">
        <v>69</v>
      </c>
      <c r="V4">
        <v>218</v>
      </c>
      <c r="X4" t="s">
        <v>15</v>
      </c>
      <c r="Y4">
        <f>279/548</f>
        <v>0.50912408759124084</v>
      </c>
      <c r="Z4">
        <f>125/147</f>
        <v>0.85034013605442171</v>
      </c>
      <c r="AA4">
        <v>79</v>
      </c>
      <c r="AB4">
        <v>762</v>
      </c>
      <c r="AC4">
        <v>242</v>
      </c>
      <c r="AD4">
        <v>139</v>
      </c>
      <c r="AE4">
        <v>43</v>
      </c>
      <c r="AF4">
        <v>23</v>
      </c>
      <c r="AG4">
        <v>71</v>
      </c>
      <c r="AI4" s="15" t="s">
        <v>15</v>
      </c>
      <c r="AJ4" s="4" t="s">
        <v>30</v>
      </c>
      <c r="AK4" s="2" t="s">
        <v>23</v>
      </c>
      <c r="AL4" s="3" t="s">
        <v>24</v>
      </c>
      <c r="AM4" s="4" t="s">
        <v>30</v>
      </c>
      <c r="AN4" s="3" t="s">
        <v>24</v>
      </c>
      <c r="AO4" s="3" t="s">
        <v>27</v>
      </c>
      <c r="AP4" s="3" t="s">
        <v>27</v>
      </c>
      <c r="AQ4" s="4" t="s">
        <v>30</v>
      </c>
      <c r="AR4" s="4" t="s">
        <v>26</v>
      </c>
      <c r="AS4" s="9" t="s">
        <v>25</v>
      </c>
    </row>
    <row r="5" spans="2:46" ht="30" customHeight="1" x14ac:dyDescent="0.2">
      <c r="B5" t="s">
        <v>12</v>
      </c>
      <c r="C5">
        <v>0.50089126559714792</v>
      </c>
      <c r="D5">
        <v>0.76249999999999996</v>
      </c>
      <c r="E5">
        <v>156</v>
      </c>
      <c r="F5">
        <v>1410</v>
      </c>
      <c r="G5">
        <v>492</v>
      </c>
      <c r="H5">
        <v>318</v>
      </c>
      <c r="I5">
        <v>73</v>
      </c>
      <c r="J5">
        <v>49</v>
      </c>
      <c r="K5">
        <v>196</v>
      </c>
      <c r="M5" t="s">
        <v>12</v>
      </c>
      <c r="N5">
        <v>0.47899999999999998</v>
      </c>
      <c r="O5">
        <v>0.77500000000000002</v>
      </c>
      <c r="P5">
        <v>218</v>
      </c>
      <c r="Q5">
        <v>2104</v>
      </c>
      <c r="R5">
        <v>757</v>
      </c>
      <c r="S5">
        <v>515</v>
      </c>
      <c r="T5">
        <v>115</v>
      </c>
      <c r="U5">
        <v>66</v>
      </c>
      <c r="V5">
        <v>289</v>
      </c>
      <c r="X5" t="s">
        <v>12</v>
      </c>
      <c r="Y5">
        <f>252/540</f>
        <v>0.46666666666666667</v>
      </c>
      <c r="Z5">
        <f>128/162</f>
        <v>0.79012345679012341</v>
      </c>
      <c r="AA5">
        <v>62</v>
      </c>
      <c r="AB5">
        <v>694</v>
      </c>
      <c r="AC5">
        <v>265</v>
      </c>
      <c r="AD5">
        <v>197</v>
      </c>
      <c r="AE5">
        <v>42</v>
      </c>
      <c r="AF5">
        <v>17</v>
      </c>
      <c r="AG5">
        <v>93</v>
      </c>
      <c r="AI5" s="15" t="s">
        <v>12</v>
      </c>
      <c r="AJ5" s="4" t="s">
        <v>31</v>
      </c>
      <c r="AK5" s="4" t="s">
        <v>28</v>
      </c>
      <c r="AL5" s="2" t="s">
        <v>23</v>
      </c>
      <c r="AM5" s="4" t="s">
        <v>30</v>
      </c>
      <c r="AN5" s="4" t="s">
        <v>26</v>
      </c>
      <c r="AO5" s="4" t="s">
        <v>28</v>
      </c>
      <c r="AP5" s="4" t="s">
        <v>30</v>
      </c>
      <c r="AQ5" s="4" t="s">
        <v>30</v>
      </c>
      <c r="AR5" s="4" t="s">
        <v>28</v>
      </c>
      <c r="AS5" s="19" t="s">
        <v>35</v>
      </c>
    </row>
    <row r="6" spans="2:46" ht="30" customHeight="1" x14ac:dyDescent="0.2">
      <c r="B6" t="s">
        <v>13</v>
      </c>
      <c r="C6">
        <v>0.47140381282495669</v>
      </c>
      <c r="D6">
        <v>0.88666666666666671</v>
      </c>
      <c r="E6">
        <v>153</v>
      </c>
      <c r="F6">
        <v>1359</v>
      </c>
      <c r="G6">
        <v>365</v>
      </c>
      <c r="H6">
        <v>266</v>
      </c>
      <c r="I6">
        <v>77</v>
      </c>
      <c r="J6">
        <v>40</v>
      </c>
      <c r="K6">
        <v>147</v>
      </c>
      <c r="M6" t="s">
        <v>14</v>
      </c>
      <c r="N6">
        <v>0.47099999999999997</v>
      </c>
      <c r="O6">
        <v>0.78900000000000003</v>
      </c>
      <c r="P6">
        <v>267</v>
      </c>
      <c r="Q6">
        <v>2237</v>
      </c>
      <c r="R6">
        <v>803</v>
      </c>
      <c r="S6">
        <v>475</v>
      </c>
      <c r="T6">
        <v>123</v>
      </c>
      <c r="U6">
        <v>80</v>
      </c>
      <c r="V6">
        <v>253</v>
      </c>
      <c r="X6" t="s">
        <v>14</v>
      </c>
      <c r="Y6">
        <f>273/553</f>
        <v>0.49367088607594939</v>
      </c>
      <c r="Z6">
        <f>137/170</f>
        <v>0.80588235294117649</v>
      </c>
      <c r="AA6">
        <v>96</v>
      </c>
      <c r="AB6">
        <v>779</v>
      </c>
      <c r="AC6">
        <v>264</v>
      </c>
      <c r="AD6">
        <v>180</v>
      </c>
      <c r="AE6">
        <v>40</v>
      </c>
      <c r="AF6">
        <v>31</v>
      </c>
      <c r="AG6">
        <v>94</v>
      </c>
      <c r="AI6" s="15" t="s">
        <v>14</v>
      </c>
      <c r="AJ6" s="4" t="s">
        <v>26</v>
      </c>
      <c r="AK6" s="3" t="s">
        <v>29</v>
      </c>
      <c r="AL6" s="3" t="s">
        <v>29</v>
      </c>
      <c r="AM6" s="2" t="s">
        <v>23</v>
      </c>
      <c r="AN6" s="3" t="s">
        <v>24</v>
      </c>
      <c r="AO6" s="13" t="s">
        <v>35</v>
      </c>
      <c r="AP6" s="3" t="s">
        <v>24</v>
      </c>
      <c r="AQ6" s="3" t="s">
        <v>25</v>
      </c>
      <c r="AR6" s="3" t="s">
        <v>29</v>
      </c>
      <c r="AS6" s="9" t="s">
        <v>24</v>
      </c>
    </row>
    <row r="7" spans="2:46" ht="30" customHeight="1" x14ac:dyDescent="0.2">
      <c r="B7" t="s">
        <v>15</v>
      </c>
      <c r="C7">
        <v>0.46409807355516636</v>
      </c>
      <c r="D7">
        <v>0.7432432432432432</v>
      </c>
      <c r="E7">
        <v>116</v>
      </c>
      <c r="F7">
        <v>1257</v>
      </c>
      <c r="G7">
        <v>499</v>
      </c>
      <c r="H7">
        <v>297</v>
      </c>
      <c r="I7">
        <v>87</v>
      </c>
      <c r="J7">
        <v>46</v>
      </c>
      <c r="K7">
        <v>147</v>
      </c>
      <c r="M7" t="s">
        <v>13</v>
      </c>
      <c r="N7">
        <v>0.47</v>
      </c>
      <c r="O7">
        <v>0.86399999999999999</v>
      </c>
      <c r="P7">
        <v>218</v>
      </c>
      <c r="Q7">
        <v>2068</v>
      </c>
      <c r="R7">
        <v>576</v>
      </c>
      <c r="S7">
        <v>435</v>
      </c>
      <c r="T7">
        <v>115</v>
      </c>
      <c r="U7">
        <v>65</v>
      </c>
      <c r="V7">
        <v>226</v>
      </c>
      <c r="X7" t="s">
        <v>13</v>
      </c>
      <c r="Y7">
        <f>266/562</f>
        <v>0.47330960854092524</v>
      </c>
      <c r="Z7">
        <f>112/132</f>
        <v>0.84848484848484851</v>
      </c>
      <c r="AA7">
        <v>65</v>
      </c>
      <c r="AB7">
        <v>709</v>
      </c>
      <c r="AC7">
        <v>211</v>
      </c>
      <c r="AD7">
        <v>169</v>
      </c>
      <c r="AE7">
        <v>38</v>
      </c>
      <c r="AF7">
        <v>25</v>
      </c>
      <c r="AG7">
        <v>79</v>
      </c>
      <c r="AI7" s="15" t="s">
        <v>13</v>
      </c>
      <c r="AJ7" s="4" t="s">
        <v>28</v>
      </c>
      <c r="AK7" s="4" t="s">
        <v>28</v>
      </c>
      <c r="AL7" s="3" t="s">
        <v>25</v>
      </c>
      <c r="AM7" s="4" t="s">
        <v>28</v>
      </c>
      <c r="AN7" s="2" t="s">
        <v>23</v>
      </c>
      <c r="AO7" s="4" t="s">
        <v>30</v>
      </c>
      <c r="AP7" s="3" t="s">
        <v>25</v>
      </c>
      <c r="AQ7" s="4" t="s">
        <v>30</v>
      </c>
      <c r="AR7" s="4" t="s">
        <v>28</v>
      </c>
      <c r="AS7" s="20" t="s">
        <v>30</v>
      </c>
    </row>
    <row r="8" spans="2:46" ht="30" customHeight="1" x14ac:dyDescent="0.2">
      <c r="B8" t="s">
        <v>16</v>
      </c>
      <c r="C8">
        <v>0.46416382252559729</v>
      </c>
      <c r="D8">
        <v>0.77215189873417722</v>
      </c>
      <c r="E8">
        <v>141</v>
      </c>
      <c r="F8">
        <v>1379</v>
      </c>
      <c r="G8">
        <v>462</v>
      </c>
      <c r="H8">
        <v>330</v>
      </c>
      <c r="I8">
        <v>81</v>
      </c>
      <c r="J8">
        <v>40</v>
      </c>
      <c r="K8">
        <v>184</v>
      </c>
      <c r="M8" t="s">
        <v>19</v>
      </c>
      <c r="N8">
        <v>0.46899999999999997</v>
      </c>
      <c r="O8">
        <v>0.81</v>
      </c>
      <c r="P8">
        <v>171</v>
      </c>
      <c r="Q8">
        <v>1761</v>
      </c>
      <c r="R8">
        <v>573</v>
      </c>
      <c r="S8">
        <v>544</v>
      </c>
      <c r="T8">
        <v>122</v>
      </c>
      <c r="U8">
        <v>53</v>
      </c>
      <c r="V8">
        <v>214</v>
      </c>
      <c r="X8" t="s">
        <v>19</v>
      </c>
      <c r="Y8">
        <f>275/547</f>
        <v>0.50274223034734922</v>
      </c>
      <c r="Z8">
        <f>105/127</f>
        <v>0.82677165354330706</v>
      </c>
      <c r="AA8">
        <v>77</v>
      </c>
      <c r="AB8">
        <v>732</v>
      </c>
      <c r="AC8">
        <v>198</v>
      </c>
      <c r="AD8">
        <v>235</v>
      </c>
      <c r="AE8">
        <v>40</v>
      </c>
      <c r="AF8">
        <v>20</v>
      </c>
      <c r="AG8">
        <v>84</v>
      </c>
      <c r="AI8" s="15" t="s">
        <v>19</v>
      </c>
      <c r="AJ8" s="3" t="s">
        <v>29</v>
      </c>
      <c r="AK8" s="4" t="s">
        <v>31</v>
      </c>
      <c r="AL8" s="3" t="s">
        <v>24</v>
      </c>
      <c r="AM8" s="13" t="s">
        <v>35</v>
      </c>
      <c r="AN8" s="3" t="s">
        <v>29</v>
      </c>
      <c r="AO8" s="2" t="s">
        <v>23</v>
      </c>
      <c r="AP8" s="3" t="s">
        <v>33</v>
      </c>
      <c r="AQ8" s="4" t="s">
        <v>30</v>
      </c>
      <c r="AR8" s="4" t="s">
        <v>30</v>
      </c>
      <c r="AS8" s="20" t="s">
        <v>30</v>
      </c>
    </row>
    <row r="9" spans="2:46" ht="30" customHeight="1" x14ac:dyDescent="0.2">
      <c r="B9" t="s">
        <v>14</v>
      </c>
      <c r="C9">
        <v>0.45531197301854975</v>
      </c>
      <c r="D9">
        <v>0.81865284974093266</v>
      </c>
      <c r="E9">
        <v>171</v>
      </c>
      <c r="F9">
        <v>1458</v>
      </c>
      <c r="G9">
        <v>539</v>
      </c>
      <c r="H9">
        <v>295</v>
      </c>
      <c r="I9">
        <v>83</v>
      </c>
      <c r="J9">
        <v>49</v>
      </c>
      <c r="K9">
        <v>159</v>
      </c>
      <c r="M9" t="s">
        <v>16</v>
      </c>
      <c r="N9">
        <v>0.46800000000000003</v>
      </c>
      <c r="O9">
        <v>0.80400000000000005</v>
      </c>
      <c r="P9">
        <v>214</v>
      </c>
      <c r="Q9">
        <v>2055</v>
      </c>
      <c r="R9">
        <v>682</v>
      </c>
      <c r="S9">
        <v>486</v>
      </c>
      <c r="T9">
        <v>114</v>
      </c>
      <c r="U9">
        <v>60</v>
      </c>
      <c r="V9">
        <v>274</v>
      </c>
      <c r="X9" t="s">
        <v>16</v>
      </c>
      <c r="Y9">
        <f>253/527</f>
        <v>0.48007590132827327</v>
      </c>
      <c r="Z9">
        <f>97/115</f>
        <v>0.84347826086956523</v>
      </c>
      <c r="AA9">
        <v>73</v>
      </c>
      <c r="AB9">
        <v>676</v>
      </c>
      <c r="AC9">
        <v>220</v>
      </c>
      <c r="AD9">
        <v>156</v>
      </c>
      <c r="AE9">
        <v>33</v>
      </c>
      <c r="AF9">
        <v>20</v>
      </c>
      <c r="AG9">
        <v>90</v>
      </c>
      <c r="AI9" s="15" t="s">
        <v>16</v>
      </c>
      <c r="AJ9" s="4" t="s">
        <v>26</v>
      </c>
      <c r="AK9" s="4" t="s">
        <v>31</v>
      </c>
      <c r="AL9" s="3" t="s">
        <v>29</v>
      </c>
      <c r="AM9" s="4" t="s">
        <v>28</v>
      </c>
      <c r="AN9" s="4" t="s">
        <v>26</v>
      </c>
      <c r="AO9" s="4" t="s">
        <v>36</v>
      </c>
      <c r="AP9" s="2" t="s">
        <v>23</v>
      </c>
      <c r="AQ9" s="4" t="s">
        <v>26</v>
      </c>
      <c r="AR9" s="4" t="s">
        <v>28</v>
      </c>
      <c r="AS9" s="20" t="s">
        <v>30</v>
      </c>
    </row>
    <row r="10" spans="2:46" ht="30" customHeight="1" x14ac:dyDescent="0.2">
      <c r="B10" t="s">
        <v>18</v>
      </c>
      <c r="C10">
        <v>0.47123287671232877</v>
      </c>
      <c r="D10">
        <v>0.71698113207547165</v>
      </c>
      <c r="E10">
        <v>129</v>
      </c>
      <c r="F10">
        <v>1098</v>
      </c>
      <c r="G10">
        <v>468</v>
      </c>
      <c r="H10">
        <v>217</v>
      </c>
      <c r="I10">
        <v>71</v>
      </c>
      <c r="J10">
        <v>71</v>
      </c>
      <c r="K10">
        <v>141</v>
      </c>
      <c r="M10" t="s">
        <v>11</v>
      </c>
      <c r="N10">
        <v>0.46600000000000003</v>
      </c>
      <c r="O10">
        <v>0.74099999999999999</v>
      </c>
      <c r="P10">
        <v>234</v>
      </c>
      <c r="Q10">
        <v>2319</v>
      </c>
      <c r="R10">
        <v>768</v>
      </c>
      <c r="S10">
        <v>484</v>
      </c>
      <c r="T10">
        <v>135</v>
      </c>
      <c r="U10">
        <v>64</v>
      </c>
      <c r="V10">
        <v>269</v>
      </c>
      <c r="X10" t="s">
        <v>11</v>
      </c>
      <c r="Y10">
        <f>288/675</f>
        <v>0.42666666666666669</v>
      </c>
      <c r="Z10">
        <f>140/179</f>
        <v>0.78212290502793291</v>
      </c>
      <c r="AA10">
        <v>78</v>
      </c>
      <c r="AB10">
        <v>794</v>
      </c>
      <c r="AC10">
        <v>287</v>
      </c>
      <c r="AD10">
        <v>162</v>
      </c>
      <c r="AE10">
        <v>50</v>
      </c>
      <c r="AF10">
        <v>30</v>
      </c>
      <c r="AG10">
        <v>100</v>
      </c>
      <c r="AI10" s="15" t="s">
        <v>11</v>
      </c>
      <c r="AJ10" s="4" t="s">
        <v>28</v>
      </c>
      <c r="AK10" s="3" t="s">
        <v>29</v>
      </c>
      <c r="AL10" s="3" t="s">
        <v>29</v>
      </c>
      <c r="AM10" s="4" t="s">
        <v>26</v>
      </c>
      <c r="AN10" s="3" t="s">
        <v>29</v>
      </c>
      <c r="AO10" s="3" t="s">
        <v>29</v>
      </c>
      <c r="AP10" s="3" t="s">
        <v>25</v>
      </c>
      <c r="AQ10" s="2" t="s">
        <v>23</v>
      </c>
      <c r="AR10" s="4" t="s">
        <v>38</v>
      </c>
      <c r="AS10" s="9" t="s">
        <v>29</v>
      </c>
    </row>
    <row r="11" spans="2:46" ht="30" customHeight="1" x14ac:dyDescent="0.2">
      <c r="B11" t="s">
        <v>17</v>
      </c>
      <c r="C11">
        <v>0.45791245791245794</v>
      </c>
      <c r="D11">
        <v>0.77241379310344827</v>
      </c>
      <c r="E11">
        <v>123</v>
      </c>
      <c r="F11">
        <v>1284</v>
      </c>
      <c r="G11">
        <v>540</v>
      </c>
      <c r="H11">
        <v>329</v>
      </c>
      <c r="I11">
        <v>78</v>
      </c>
      <c r="J11">
        <v>78</v>
      </c>
      <c r="K11">
        <v>193</v>
      </c>
      <c r="M11" t="s">
        <v>17</v>
      </c>
      <c r="N11">
        <v>0.46500000000000002</v>
      </c>
      <c r="O11">
        <v>0.79600000000000004</v>
      </c>
      <c r="P11">
        <v>209</v>
      </c>
      <c r="Q11">
        <v>2119</v>
      </c>
      <c r="R11">
        <v>840</v>
      </c>
      <c r="S11">
        <v>500</v>
      </c>
      <c r="T11">
        <v>122</v>
      </c>
      <c r="U11">
        <v>118</v>
      </c>
      <c r="V11">
        <v>293</v>
      </c>
      <c r="X11" t="s">
        <v>17</v>
      </c>
      <c r="Y11">
        <f>305/623</f>
        <v>0.4895666131621188</v>
      </c>
      <c r="Z11">
        <f>139/174</f>
        <v>0.79885057471264365</v>
      </c>
      <c r="AA11">
        <v>86</v>
      </c>
      <c r="AB11">
        <v>835</v>
      </c>
      <c r="AC11">
        <v>300</v>
      </c>
      <c r="AD11">
        <v>171</v>
      </c>
      <c r="AE11">
        <v>44</v>
      </c>
      <c r="AF11">
        <v>40</v>
      </c>
      <c r="AG11">
        <v>100</v>
      </c>
      <c r="AI11" s="15" t="s">
        <v>17</v>
      </c>
      <c r="AJ11" s="3" t="s">
        <v>29</v>
      </c>
      <c r="AK11" s="3" t="s">
        <v>25</v>
      </c>
      <c r="AL11" s="3" t="s">
        <v>24</v>
      </c>
      <c r="AM11" s="4" t="s">
        <v>30</v>
      </c>
      <c r="AN11" s="3" t="s">
        <v>24</v>
      </c>
      <c r="AO11" s="3" t="s">
        <v>29</v>
      </c>
      <c r="AP11" s="3" t="s">
        <v>24</v>
      </c>
      <c r="AQ11" s="3" t="s">
        <v>39</v>
      </c>
      <c r="AR11" s="2" t="s">
        <v>23</v>
      </c>
      <c r="AS11" s="9" t="s">
        <v>24</v>
      </c>
    </row>
    <row r="12" spans="2:46" ht="30" customHeight="1" thickBot="1" x14ac:dyDescent="0.25">
      <c r="B12" t="s">
        <v>19</v>
      </c>
      <c r="C12">
        <v>0.45474613686534215</v>
      </c>
      <c r="D12">
        <v>0.85987261146496818</v>
      </c>
      <c r="E12">
        <v>94</v>
      </c>
      <c r="F12">
        <v>1029</v>
      </c>
      <c r="G12">
        <v>375</v>
      </c>
      <c r="H12">
        <v>309</v>
      </c>
      <c r="I12">
        <v>82</v>
      </c>
      <c r="J12">
        <v>33</v>
      </c>
      <c r="K12">
        <v>130</v>
      </c>
      <c r="M12" t="s">
        <v>18</v>
      </c>
      <c r="N12">
        <v>0.45300000000000001</v>
      </c>
      <c r="O12">
        <v>0.75700000000000001</v>
      </c>
      <c r="P12">
        <v>214</v>
      </c>
      <c r="Q12">
        <v>1676</v>
      </c>
      <c r="R12">
        <v>690</v>
      </c>
      <c r="S12">
        <v>329</v>
      </c>
      <c r="T12">
        <v>113</v>
      </c>
      <c r="U12">
        <v>99</v>
      </c>
      <c r="V12">
        <v>203</v>
      </c>
      <c r="X12" t="s">
        <v>18</v>
      </c>
      <c r="Y12">
        <f>208/456</f>
        <v>0.45614035087719296</v>
      </c>
      <c r="Z12">
        <f>77/96</f>
        <v>0.80208333333333337</v>
      </c>
      <c r="AA12">
        <v>85</v>
      </c>
      <c r="AB12">
        <v>578</v>
      </c>
      <c r="AC12">
        <v>222</v>
      </c>
      <c r="AD12">
        <v>112</v>
      </c>
      <c r="AE12">
        <v>42</v>
      </c>
      <c r="AF12">
        <v>28</v>
      </c>
      <c r="AG12">
        <v>62</v>
      </c>
      <c r="AI12" s="16" t="s">
        <v>18</v>
      </c>
      <c r="AJ12" s="11" t="s">
        <v>28</v>
      </c>
      <c r="AK12" s="11" t="s">
        <v>26</v>
      </c>
      <c r="AL12" s="17" t="s">
        <v>35</v>
      </c>
      <c r="AM12" s="11" t="s">
        <v>28</v>
      </c>
      <c r="AN12" s="18" t="s">
        <v>29</v>
      </c>
      <c r="AO12" s="18" t="s">
        <v>29</v>
      </c>
      <c r="AP12" s="18" t="s">
        <v>29</v>
      </c>
      <c r="AQ12" s="11" t="s">
        <v>30</v>
      </c>
      <c r="AR12" s="11" t="s">
        <v>28</v>
      </c>
      <c r="AS12" s="12" t="s">
        <v>23</v>
      </c>
    </row>
    <row r="14" spans="2:46" x14ac:dyDescent="0.2">
      <c r="AT14" s="1"/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1CB7B-75C4-EF4D-B1FA-15EBE0E4BA4A}">
  <sheetPr codeName="Sheet4"/>
  <dimension ref="B1:AT14"/>
  <sheetViews>
    <sheetView topLeftCell="C1" zoomScale="93" zoomScaleNormal="100" workbookViewId="0">
      <selection activeCell="M2" sqref="M2:V12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42</v>
      </c>
      <c r="AJ2" s="6" t="s">
        <v>10</v>
      </c>
      <c r="AK2" s="6" t="s">
        <v>15</v>
      </c>
      <c r="AL2" s="6" t="s">
        <v>12</v>
      </c>
      <c r="AM2" s="6" t="s">
        <v>11</v>
      </c>
      <c r="AN2" s="6" t="s">
        <v>13</v>
      </c>
      <c r="AO2" s="6" t="s">
        <v>19</v>
      </c>
      <c r="AP2" s="6" t="s">
        <v>16</v>
      </c>
      <c r="AQ2" s="6" t="s">
        <v>14</v>
      </c>
      <c r="AR2" s="6" t="s">
        <v>18</v>
      </c>
      <c r="AS2" s="7" t="s">
        <v>17</v>
      </c>
      <c r="AT2" s="1"/>
    </row>
    <row r="3" spans="2:46" ht="30" customHeight="1" x14ac:dyDescent="0.2">
      <c r="B3" t="s">
        <v>10</v>
      </c>
      <c r="C3">
        <v>0.48799999999999999</v>
      </c>
      <c r="D3">
        <v>0.81</v>
      </c>
      <c r="E3">
        <v>219</v>
      </c>
      <c r="F3">
        <v>2279</v>
      </c>
      <c r="G3">
        <v>857</v>
      </c>
      <c r="H3">
        <v>513</v>
      </c>
      <c r="I3">
        <v>153</v>
      </c>
      <c r="J3">
        <v>112</v>
      </c>
      <c r="K3">
        <v>310</v>
      </c>
      <c r="M3" t="s">
        <v>10</v>
      </c>
      <c r="N3">
        <v>0.48399999999999999</v>
      </c>
      <c r="O3">
        <v>0.82499999999999996</v>
      </c>
      <c r="P3">
        <v>289</v>
      </c>
      <c r="Q3">
        <v>2972</v>
      </c>
      <c r="R3">
        <v>1131</v>
      </c>
      <c r="S3">
        <v>658</v>
      </c>
      <c r="T3">
        <v>221</v>
      </c>
      <c r="U3">
        <v>146</v>
      </c>
      <c r="V3">
        <v>422</v>
      </c>
      <c r="X3" t="s">
        <v>10</v>
      </c>
      <c r="Y3">
        <f>250/532</f>
        <v>0.46992481203007519</v>
      </c>
      <c r="Z3">
        <f>123/140</f>
        <v>0.87857142857142856</v>
      </c>
      <c r="AA3">
        <v>70</v>
      </c>
      <c r="AB3">
        <v>693</v>
      </c>
      <c r="AC3">
        <v>274</v>
      </c>
      <c r="AD3">
        <v>145</v>
      </c>
      <c r="AE3">
        <v>68</v>
      </c>
      <c r="AF3">
        <v>34</v>
      </c>
      <c r="AG3">
        <v>112</v>
      </c>
      <c r="AI3" s="15" t="s">
        <v>10</v>
      </c>
      <c r="AJ3" s="2" t="s">
        <v>23</v>
      </c>
      <c r="AK3" s="3" t="s">
        <v>25</v>
      </c>
      <c r="AL3" s="3" t="s">
        <v>24</v>
      </c>
      <c r="AM3" s="4" t="s">
        <v>28</v>
      </c>
      <c r="AN3" s="3" t="s">
        <v>25</v>
      </c>
      <c r="AO3" s="4" t="s">
        <v>31</v>
      </c>
      <c r="AP3" s="3" t="s">
        <v>25</v>
      </c>
      <c r="AQ3" s="3" t="s">
        <v>29</v>
      </c>
      <c r="AR3" s="3" t="s">
        <v>27</v>
      </c>
      <c r="AS3" s="9" t="s">
        <v>29</v>
      </c>
    </row>
    <row r="4" spans="2:46" ht="30" customHeight="1" x14ac:dyDescent="0.2">
      <c r="B4" t="s">
        <v>15</v>
      </c>
      <c r="C4">
        <v>0.47899999999999998</v>
      </c>
      <c r="D4">
        <v>0.79500000000000004</v>
      </c>
      <c r="E4">
        <v>195</v>
      </c>
      <c r="F4">
        <v>2019</v>
      </c>
      <c r="G4">
        <v>741</v>
      </c>
      <c r="H4">
        <v>436</v>
      </c>
      <c r="I4">
        <v>130</v>
      </c>
      <c r="J4">
        <v>69</v>
      </c>
      <c r="K4">
        <v>218</v>
      </c>
      <c r="M4" t="s">
        <v>15</v>
      </c>
      <c r="N4">
        <v>0.48399999999999999</v>
      </c>
      <c r="O4">
        <v>0.79600000000000004</v>
      </c>
      <c r="P4">
        <v>267</v>
      </c>
      <c r="Q4">
        <v>2663</v>
      </c>
      <c r="R4">
        <v>968</v>
      </c>
      <c r="S4">
        <v>562</v>
      </c>
      <c r="T4">
        <v>174</v>
      </c>
      <c r="U4">
        <v>92</v>
      </c>
      <c r="V4">
        <v>296</v>
      </c>
      <c r="X4" t="s">
        <v>15</v>
      </c>
      <c r="Y4">
        <f>239/477</f>
        <v>0.50104821802935007</v>
      </c>
      <c r="Z4">
        <f>94/118</f>
        <v>0.79661016949152541</v>
      </c>
      <c r="AA4">
        <v>72</v>
      </c>
      <c r="AB4">
        <v>644</v>
      </c>
      <c r="AC4">
        <v>227</v>
      </c>
      <c r="AD4">
        <v>126</v>
      </c>
      <c r="AE4">
        <v>44</v>
      </c>
      <c r="AF4">
        <v>23</v>
      </c>
      <c r="AG4">
        <v>78</v>
      </c>
      <c r="AI4" s="15" t="s">
        <v>15</v>
      </c>
      <c r="AJ4" s="4" t="s">
        <v>26</v>
      </c>
      <c r="AK4" s="2" t="s">
        <v>23</v>
      </c>
      <c r="AL4" s="3" t="s">
        <v>25</v>
      </c>
      <c r="AM4" s="4" t="s">
        <v>36</v>
      </c>
      <c r="AN4" s="3" t="s">
        <v>25</v>
      </c>
      <c r="AO4" s="4" t="s">
        <v>28</v>
      </c>
      <c r="AP4" s="3" t="s">
        <v>29</v>
      </c>
      <c r="AQ4" s="4" t="s">
        <v>28</v>
      </c>
      <c r="AR4" s="3" t="s">
        <v>24</v>
      </c>
      <c r="AS4" s="20" t="s">
        <v>26</v>
      </c>
    </row>
    <row r="5" spans="2:46" ht="30" customHeight="1" x14ac:dyDescent="0.2">
      <c r="B5" t="s">
        <v>12</v>
      </c>
      <c r="C5">
        <v>0.47899999999999998</v>
      </c>
      <c r="D5">
        <v>0.77500000000000002</v>
      </c>
      <c r="E5">
        <v>218</v>
      </c>
      <c r="F5">
        <v>2104</v>
      </c>
      <c r="G5">
        <v>757</v>
      </c>
      <c r="H5">
        <v>515</v>
      </c>
      <c r="I5">
        <v>115</v>
      </c>
      <c r="J5">
        <v>66</v>
      </c>
      <c r="K5">
        <v>289</v>
      </c>
      <c r="M5" t="s">
        <v>12</v>
      </c>
      <c r="N5">
        <v>0.48099999999999998</v>
      </c>
      <c r="O5">
        <v>0.77700000000000002</v>
      </c>
      <c r="P5">
        <v>274</v>
      </c>
      <c r="Q5">
        <v>2752</v>
      </c>
      <c r="R5">
        <v>945</v>
      </c>
      <c r="S5">
        <v>658</v>
      </c>
      <c r="T5">
        <v>143</v>
      </c>
      <c r="U5">
        <v>82</v>
      </c>
      <c r="V5">
        <v>363</v>
      </c>
      <c r="X5" t="s">
        <v>12</v>
      </c>
      <c r="Y5">
        <f>230/470</f>
        <v>0.48936170212765956</v>
      </c>
      <c r="Z5">
        <f>132/169</f>
        <v>0.78106508875739644</v>
      </c>
      <c r="AA5">
        <v>56</v>
      </c>
      <c r="AB5">
        <v>648</v>
      </c>
      <c r="AC5">
        <v>188</v>
      </c>
      <c r="AD5">
        <v>143</v>
      </c>
      <c r="AE5">
        <v>28</v>
      </c>
      <c r="AF5">
        <v>16</v>
      </c>
      <c r="AG5">
        <v>74</v>
      </c>
      <c r="AI5" s="15" t="s">
        <v>12</v>
      </c>
      <c r="AJ5" s="4" t="s">
        <v>28</v>
      </c>
      <c r="AK5" s="4" t="s">
        <v>26</v>
      </c>
      <c r="AL5" s="2" t="s">
        <v>23</v>
      </c>
      <c r="AM5" s="4" t="s">
        <v>28</v>
      </c>
      <c r="AN5" s="3" t="s">
        <v>29</v>
      </c>
      <c r="AO5" s="4" t="s">
        <v>28</v>
      </c>
      <c r="AP5" s="4" t="s">
        <v>28</v>
      </c>
      <c r="AQ5" s="4" t="s">
        <v>28</v>
      </c>
      <c r="AR5" s="4" t="s">
        <v>30</v>
      </c>
      <c r="AS5" s="20" t="s">
        <v>28</v>
      </c>
    </row>
    <row r="6" spans="2:46" ht="30" customHeight="1" x14ac:dyDescent="0.2">
      <c r="B6" t="s">
        <v>14</v>
      </c>
      <c r="C6">
        <v>0.47099999999999997</v>
      </c>
      <c r="D6">
        <v>0.78900000000000003</v>
      </c>
      <c r="E6">
        <v>267</v>
      </c>
      <c r="F6">
        <v>2237</v>
      </c>
      <c r="G6">
        <v>803</v>
      </c>
      <c r="H6">
        <v>475</v>
      </c>
      <c r="I6">
        <v>123</v>
      </c>
      <c r="J6">
        <v>80</v>
      </c>
      <c r="K6">
        <v>253</v>
      </c>
      <c r="M6" t="s">
        <v>11</v>
      </c>
      <c r="N6">
        <v>0.47399999999999998</v>
      </c>
      <c r="O6">
        <v>0.749</v>
      </c>
      <c r="P6">
        <v>312</v>
      </c>
      <c r="Q6">
        <v>3191</v>
      </c>
      <c r="R6">
        <v>1053</v>
      </c>
      <c r="S6">
        <v>652</v>
      </c>
      <c r="T6">
        <v>179</v>
      </c>
      <c r="U6">
        <v>100</v>
      </c>
      <c r="V6">
        <v>344</v>
      </c>
      <c r="X6" t="s">
        <v>11</v>
      </c>
      <c r="Y6">
        <f>330/666</f>
        <v>0.49549549549549549</v>
      </c>
      <c r="Z6">
        <f>134/173</f>
        <v>0.77456647398843925</v>
      </c>
      <c r="AA6">
        <v>78</v>
      </c>
      <c r="AB6">
        <v>872</v>
      </c>
      <c r="AC6">
        <v>285</v>
      </c>
      <c r="AD6">
        <v>168</v>
      </c>
      <c r="AE6">
        <v>44</v>
      </c>
      <c r="AF6">
        <v>36</v>
      </c>
      <c r="AG6">
        <v>75</v>
      </c>
      <c r="AI6" s="15" t="s">
        <v>11</v>
      </c>
      <c r="AJ6" s="3" t="s">
        <v>24</v>
      </c>
      <c r="AK6" s="3" t="s">
        <v>33</v>
      </c>
      <c r="AL6" s="3" t="s">
        <v>24</v>
      </c>
      <c r="AM6" s="2" t="s">
        <v>23</v>
      </c>
      <c r="AN6" s="3" t="s">
        <v>40</v>
      </c>
      <c r="AO6" s="4" t="s">
        <v>30</v>
      </c>
      <c r="AP6" s="3" t="s">
        <v>25</v>
      </c>
      <c r="AQ6" s="3" t="s">
        <v>29</v>
      </c>
      <c r="AR6" s="3" t="s">
        <v>27</v>
      </c>
      <c r="AS6" s="9" t="s">
        <v>25</v>
      </c>
    </row>
    <row r="7" spans="2:46" ht="30" customHeight="1" x14ac:dyDescent="0.2">
      <c r="B7" t="s">
        <v>13</v>
      </c>
      <c r="C7">
        <v>0.47</v>
      </c>
      <c r="D7">
        <v>0.86399999999999999</v>
      </c>
      <c r="E7">
        <v>218</v>
      </c>
      <c r="F7">
        <v>2068</v>
      </c>
      <c r="G7">
        <v>576</v>
      </c>
      <c r="H7">
        <v>435</v>
      </c>
      <c r="I7">
        <v>115</v>
      </c>
      <c r="J7">
        <v>65</v>
      </c>
      <c r="K7">
        <v>226</v>
      </c>
      <c r="M7" t="s">
        <v>13</v>
      </c>
      <c r="N7">
        <v>0.47199999999999998</v>
      </c>
      <c r="O7">
        <v>0.84099999999999997</v>
      </c>
      <c r="P7">
        <v>294</v>
      </c>
      <c r="Q7">
        <v>2707</v>
      </c>
      <c r="R7">
        <v>781</v>
      </c>
      <c r="S7">
        <v>575</v>
      </c>
      <c r="T7">
        <v>147</v>
      </c>
      <c r="U7">
        <v>90</v>
      </c>
      <c r="V7">
        <v>317</v>
      </c>
      <c r="X7" t="s">
        <v>13</v>
      </c>
      <c r="Y7">
        <f>230/479</f>
        <v>0.4801670146137787</v>
      </c>
      <c r="Z7">
        <f>103/134</f>
        <v>0.76865671641791045</v>
      </c>
      <c r="AA7">
        <v>76</v>
      </c>
      <c r="AB7">
        <v>639</v>
      </c>
      <c r="AC7">
        <v>205</v>
      </c>
      <c r="AD7">
        <v>140</v>
      </c>
      <c r="AE7">
        <v>32</v>
      </c>
      <c r="AF7">
        <v>25</v>
      </c>
      <c r="AG7">
        <v>91</v>
      </c>
      <c r="AI7" s="15" t="s">
        <v>13</v>
      </c>
      <c r="AJ7" s="4" t="s">
        <v>26</v>
      </c>
      <c r="AK7" s="4" t="s">
        <v>26</v>
      </c>
      <c r="AL7" s="4" t="s">
        <v>30</v>
      </c>
      <c r="AM7" s="4" t="s">
        <v>41</v>
      </c>
      <c r="AN7" s="2" t="s">
        <v>23</v>
      </c>
      <c r="AO7" s="4" t="s">
        <v>31</v>
      </c>
      <c r="AP7" s="13" t="s">
        <v>35</v>
      </c>
      <c r="AQ7" s="4" t="s">
        <v>31</v>
      </c>
      <c r="AR7" s="3" t="s">
        <v>25</v>
      </c>
      <c r="AS7" s="20" t="s">
        <v>26</v>
      </c>
    </row>
    <row r="8" spans="2:46" ht="30" customHeight="1" x14ac:dyDescent="0.2">
      <c r="B8" t="s">
        <v>19</v>
      </c>
      <c r="C8">
        <v>0.46899999999999997</v>
      </c>
      <c r="D8">
        <v>0.81</v>
      </c>
      <c r="E8">
        <v>171</v>
      </c>
      <c r="F8">
        <v>1761</v>
      </c>
      <c r="G8">
        <v>573</v>
      </c>
      <c r="H8">
        <v>544</v>
      </c>
      <c r="I8">
        <v>122</v>
      </c>
      <c r="J8">
        <v>53</v>
      </c>
      <c r="K8">
        <v>214</v>
      </c>
      <c r="M8" t="s">
        <v>19</v>
      </c>
      <c r="N8">
        <v>0.47199999999999998</v>
      </c>
      <c r="O8">
        <v>0.83199999999999996</v>
      </c>
      <c r="P8">
        <v>254</v>
      </c>
      <c r="Q8">
        <v>2565</v>
      </c>
      <c r="R8">
        <v>852</v>
      </c>
      <c r="S8">
        <v>762</v>
      </c>
      <c r="T8">
        <v>169</v>
      </c>
      <c r="U8">
        <v>97</v>
      </c>
      <c r="V8">
        <v>298</v>
      </c>
      <c r="X8" t="s">
        <v>19</v>
      </c>
      <c r="Y8">
        <f>287/602</f>
        <v>0.47674418604651164</v>
      </c>
      <c r="Z8">
        <f>147/166</f>
        <v>0.88554216867469882</v>
      </c>
      <c r="AA8">
        <v>83</v>
      </c>
      <c r="AB8">
        <v>804</v>
      </c>
      <c r="AC8">
        <v>279</v>
      </c>
      <c r="AD8">
        <v>218</v>
      </c>
      <c r="AE8">
        <v>47</v>
      </c>
      <c r="AF8">
        <v>44</v>
      </c>
      <c r="AG8">
        <v>84</v>
      </c>
      <c r="AI8" s="15" t="s">
        <v>19</v>
      </c>
      <c r="AJ8" s="3" t="s">
        <v>27</v>
      </c>
      <c r="AK8" s="3" t="s">
        <v>24</v>
      </c>
      <c r="AL8" s="3" t="s">
        <v>24</v>
      </c>
      <c r="AM8" s="3" t="s">
        <v>29</v>
      </c>
      <c r="AN8" s="3" t="s">
        <v>27</v>
      </c>
      <c r="AO8" s="2" t="s">
        <v>23</v>
      </c>
      <c r="AP8" s="3" t="s">
        <v>27</v>
      </c>
      <c r="AQ8" s="3" t="s">
        <v>24</v>
      </c>
      <c r="AR8" s="3" t="s">
        <v>27</v>
      </c>
      <c r="AS8" s="9" t="s">
        <v>24</v>
      </c>
    </row>
    <row r="9" spans="2:46" ht="30" customHeight="1" x14ac:dyDescent="0.2">
      <c r="B9" t="s">
        <v>16</v>
      </c>
      <c r="C9">
        <v>0.46800000000000003</v>
      </c>
      <c r="D9">
        <v>0.80400000000000005</v>
      </c>
      <c r="E9">
        <v>214</v>
      </c>
      <c r="F9">
        <v>2055</v>
      </c>
      <c r="G9">
        <v>682</v>
      </c>
      <c r="H9">
        <v>486</v>
      </c>
      <c r="I9">
        <v>114</v>
      </c>
      <c r="J9">
        <v>60</v>
      </c>
      <c r="K9">
        <v>274</v>
      </c>
      <c r="M9" t="s">
        <v>16</v>
      </c>
      <c r="N9">
        <v>0.46800000000000003</v>
      </c>
      <c r="O9">
        <v>0.80300000000000005</v>
      </c>
      <c r="P9">
        <v>287</v>
      </c>
      <c r="Q9">
        <v>2671</v>
      </c>
      <c r="R9">
        <v>887</v>
      </c>
      <c r="S9">
        <v>661</v>
      </c>
      <c r="T9">
        <v>157</v>
      </c>
      <c r="U9">
        <v>79</v>
      </c>
      <c r="V9">
        <v>347</v>
      </c>
      <c r="X9" t="s">
        <v>16</v>
      </c>
      <c r="Y9">
        <f>219/469</f>
        <v>0.46695095948827292</v>
      </c>
      <c r="Z9">
        <f>105/131</f>
        <v>0.80152671755725191</v>
      </c>
      <c r="AA9">
        <v>73</v>
      </c>
      <c r="AB9">
        <v>616</v>
      </c>
      <c r="AC9">
        <v>205</v>
      </c>
      <c r="AD9">
        <v>175</v>
      </c>
      <c r="AE9">
        <v>43</v>
      </c>
      <c r="AF9">
        <v>19</v>
      </c>
      <c r="AG9">
        <v>73</v>
      </c>
      <c r="AI9" s="15" t="s">
        <v>16</v>
      </c>
      <c r="AJ9" s="4" t="s">
        <v>26</v>
      </c>
      <c r="AK9" s="4" t="s">
        <v>30</v>
      </c>
      <c r="AL9" s="3" t="s">
        <v>24</v>
      </c>
      <c r="AM9" s="4" t="s">
        <v>26</v>
      </c>
      <c r="AN9" s="13" t="s">
        <v>35</v>
      </c>
      <c r="AO9" s="4" t="s">
        <v>31</v>
      </c>
      <c r="AP9" s="2" t="s">
        <v>23</v>
      </c>
      <c r="AQ9" s="4" t="s">
        <v>28</v>
      </c>
      <c r="AR9" s="3" t="s">
        <v>25</v>
      </c>
      <c r="AS9" s="20" t="s">
        <v>26</v>
      </c>
    </row>
    <row r="10" spans="2:46" ht="30" customHeight="1" x14ac:dyDescent="0.2">
      <c r="B10" t="s">
        <v>11</v>
      </c>
      <c r="C10">
        <v>0.46600000000000003</v>
      </c>
      <c r="D10">
        <v>0.74099999999999999</v>
      </c>
      <c r="E10">
        <v>234</v>
      </c>
      <c r="F10">
        <v>2319</v>
      </c>
      <c r="G10">
        <v>768</v>
      </c>
      <c r="H10">
        <v>484</v>
      </c>
      <c r="I10">
        <v>135</v>
      </c>
      <c r="J10">
        <v>64</v>
      </c>
      <c r="K10">
        <v>269</v>
      </c>
      <c r="M10" t="s">
        <v>14</v>
      </c>
      <c r="N10">
        <v>0.46500000000000002</v>
      </c>
      <c r="O10">
        <v>0.80100000000000005</v>
      </c>
      <c r="P10">
        <v>361</v>
      </c>
      <c r="Q10">
        <v>2960</v>
      </c>
      <c r="R10">
        <v>1074</v>
      </c>
      <c r="S10">
        <v>668</v>
      </c>
      <c r="T10">
        <v>176</v>
      </c>
      <c r="U10">
        <v>111</v>
      </c>
      <c r="V10">
        <v>340</v>
      </c>
      <c r="X10" t="s">
        <v>14</v>
      </c>
      <c r="Y10">
        <f>255/566</f>
        <v>0.45053003533568903</v>
      </c>
      <c r="Z10">
        <f>119/141</f>
        <v>0.84397163120567376</v>
      </c>
      <c r="AA10">
        <v>94</v>
      </c>
      <c r="AB10">
        <v>723</v>
      </c>
      <c r="AC10">
        <v>271</v>
      </c>
      <c r="AD10">
        <v>193</v>
      </c>
      <c r="AE10">
        <v>53</v>
      </c>
      <c r="AF10">
        <v>31</v>
      </c>
      <c r="AG10">
        <v>87</v>
      </c>
      <c r="AI10" s="15" t="s">
        <v>14</v>
      </c>
      <c r="AJ10" s="4" t="s">
        <v>30</v>
      </c>
      <c r="AK10" s="3" t="s">
        <v>24</v>
      </c>
      <c r="AL10" s="3" t="s">
        <v>24</v>
      </c>
      <c r="AM10" s="4" t="s">
        <v>30</v>
      </c>
      <c r="AN10" s="3" t="s">
        <v>27</v>
      </c>
      <c r="AO10" s="4" t="s">
        <v>28</v>
      </c>
      <c r="AP10" s="3" t="s">
        <v>24</v>
      </c>
      <c r="AQ10" s="2" t="s">
        <v>23</v>
      </c>
      <c r="AR10" s="3" t="s">
        <v>24</v>
      </c>
      <c r="AS10" s="9" t="s">
        <v>25</v>
      </c>
    </row>
    <row r="11" spans="2:46" ht="30" customHeight="1" x14ac:dyDescent="0.2">
      <c r="B11" t="s">
        <v>17</v>
      </c>
      <c r="C11">
        <v>0.46500000000000002</v>
      </c>
      <c r="D11">
        <v>0.79600000000000004</v>
      </c>
      <c r="E11">
        <v>209</v>
      </c>
      <c r="F11">
        <v>2119</v>
      </c>
      <c r="G11">
        <v>840</v>
      </c>
      <c r="H11">
        <v>500</v>
      </c>
      <c r="I11">
        <v>122</v>
      </c>
      <c r="J11">
        <v>118</v>
      </c>
      <c r="K11">
        <v>293</v>
      </c>
      <c r="M11" t="s">
        <v>18</v>
      </c>
      <c r="N11">
        <v>0.45600000000000002</v>
      </c>
      <c r="O11">
        <v>0.747</v>
      </c>
      <c r="P11">
        <v>279</v>
      </c>
      <c r="Q11">
        <v>2162</v>
      </c>
      <c r="R11">
        <v>893</v>
      </c>
      <c r="S11">
        <v>428</v>
      </c>
      <c r="T11">
        <v>146</v>
      </c>
      <c r="U11">
        <v>125</v>
      </c>
      <c r="V11">
        <v>249</v>
      </c>
      <c r="X11" t="s">
        <v>18</v>
      </c>
      <c r="Y11">
        <f>180/385</f>
        <v>0.46753246753246752</v>
      </c>
      <c r="Z11">
        <f>61/86</f>
        <v>0.70930232558139539</v>
      </c>
      <c r="AA11">
        <v>65</v>
      </c>
      <c r="AB11">
        <v>486</v>
      </c>
      <c r="AC11">
        <v>203</v>
      </c>
      <c r="AD11">
        <v>99</v>
      </c>
      <c r="AE11">
        <v>33</v>
      </c>
      <c r="AF11">
        <v>26</v>
      </c>
      <c r="AG11">
        <v>46</v>
      </c>
      <c r="AI11" s="15" t="s">
        <v>18</v>
      </c>
      <c r="AJ11" s="4" t="s">
        <v>31</v>
      </c>
      <c r="AK11" s="4" t="s">
        <v>28</v>
      </c>
      <c r="AL11" s="3" t="s">
        <v>29</v>
      </c>
      <c r="AM11" s="4" t="s">
        <v>31</v>
      </c>
      <c r="AN11" s="4" t="s">
        <v>26</v>
      </c>
      <c r="AO11" s="4" t="s">
        <v>31</v>
      </c>
      <c r="AP11" s="4" t="s">
        <v>26</v>
      </c>
      <c r="AQ11" s="4" t="s">
        <v>28</v>
      </c>
      <c r="AR11" s="2" t="s">
        <v>23</v>
      </c>
      <c r="AS11" s="20" t="s">
        <v>26</v>
      </c>
    </row>
    <row r="12" spans="2:46" ht="30" customHeight="1" thickBot="1" x14ac:dyDescent="0.25">
      <c r="B12" t="s">
        <v>18</v>
      </c>
      <c r="C12">
        <v>0.45300000000000001</v>
      </c>
      <c r="D12">
        <v>0.75700000000000001</v>
      </c>
      <c r="E12">
        <v>214</v>
      </c>
      <c r="F12">
        <v>1676</v>
      </c>
      <c r="G12">
        <v>690</v>
      </c>
      <c r="H12">
        <v>329</v>
      </c>
      <c r="I12">
        <v>113</v>
      </c>
      <c r="J12">
        <v>99</v>
      </c>
      <c r="K12">
        <v>203</v>
      </c>
      <c r="M12" t="s">
        <v>17</v>
      </c>
      <c r="N12">
        <v>0.45400000000000001</v>
      </c>
      <c r="O12">
        <v>0.81100000000000005</v>
      </c>
      <c r="P12">
        <v>304</v>
      </c>
      <c r="Q12">
        <v>2911</v>
      </c>
      <c r="R12">
        <v>1093</v>
      </c>
      <c r="S12">
        <v>665</v>
      </c>
      <c r="T12">
        <v>171</v>
      </c>
      <c r="U12">
        <v>139</v>
      </c>
      <c r="V12">
        <v>396</v>
      </c>
      <c r="X12" t="s">
        <v>17</v>
      </c>
      <c r="Y12">
        <f>281/660</f>
        <v>0.42575757575757578</v>
      </c>
      <c r="Z12">
        <f>135/158</f>
        <v>0.85443037974683544</v>
      </c>
      <c r="AA12">
        <v>95</v>
      </c>
      <c r="AB12">
        <v>792</v>
      </c>
      <c r="AC12">
        <v>253</v>
      </c>
      <c r="AD12">
        <v>165</v>
      </c>
      <c r="AE12">
        <v>49</v>
      </c>
      <c r="AF12">
        <v>21</v>
      </c>
      <c r="AG12">
        <v>103</v>
      </c>
      <c r="AI12" s="16" t="s">
        <v>17</v>
      </c>
      <c r="AJ12" s="11" t="s">
        <v>30</v>
      </c>
      <c r="AK12" s="18" t="s">
        <v>25</v>
      </c>
      <c r="AL12" s="18" t="s">
        <v>24</v>
      </c>
      <c r="AM12" s="11" t="s">
        <v>26</v>
      </c>
      <c r="AN12" s="18" t="s">
        <v>25</v>
      </c>
      <c r="AO12" s="11" t="s">
        <v>28</v>
      </c>
      <c r="AP12" s="18" t="s">
        <v>25</v>
      </c>
      <c r="AQ12" s="11" t="s">
        <v>26</v>
      </c>
      <c r="AR12" s="18" t="s">
        <v>25</v>
      </c>
      <c r="AS12" s="12" t="s">
        <v>23</v>
      </c>
    </row>
    <row r="14" spans="2:46" x14ac:dyDescent="0.2">
      <c r="AT14" s="1"/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BF46B-7C96-FC40-BAA0-9E62C14187D9}">
  <sheetPr codeName="Sheet5"/>
  <dimension ref="B1:AT14"/>
  <sheetViews>
    <sheetView topLeftCell="AC1" zoomScale="99" zoomScaleNormal="100" workbookViewId="0">
      <selection activeCell="AR18" sqref="AR18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0</v>
      </c>
      <c r="AJ2" s="6" t="s">
        <v>15</v>
      </c>
      <c r="AK2" s="6" t="s">
        <v>12</v>
      </c>
      <c r="AL2" s="6" t="s">
        <v>10</v>
      </c>
      <c r="AM2" s="6" t="s">
        <v>11</v>
      </c>
      <c r="AN2" s="6" t="s">
        <v>19</v>
      </c>
      <c r="AO2" s="6" t="s">
        <v>13</v>
      </c>
      <c r="AP2" s="6" t="s">
        <v>18</v>
      </c>
      <c r="AQ2" s="6" t="s">
        <v>16</v>
      </c>
      <c r="AR2" s="6" t="s">
        <v>14</v>
      </c>
      <c r="AS2" s="7" t="s">
        <v>17</v>
      </c>
      <c r="AT2" s="1"/>
    </row>
    <row r="3" spans="2:46" ht="30" customHeight="1" x14ac:dyDescent="0.2">
      <c r="B3" t="s">
        <v>10</v>
      </c>
      <c r="C3">
        <v>0.48399999999999999</v>
      </c>
      <c r="D3">
        <v>0.82499999999999996</v>
      </c>
      <c r="E3">
        <v>289</v>
      </c>
      <c r="F3">
        <v>2972</v>
      </c>
      <c r="G3">
        <v>1131</v>
      </c>
      <c r="H3">
        <v>658</v>
      </c>
      <c r="I3">
        <v>221</v>
      </c>
      <c r="J3">
        <v>146</v>
      </c>
      <c r="K3">
        <v>422</v>
      </c>
      <c r="M3" t="s">
        <v>15</v>
      </c>
      <c r="N3">
        <v>0.49199999999999999</v>
      </c>
      <c r="O3">
        <v>0.79500000000000004</v>
      </c>
      <c r="P3">
        <v>343</v>
      </c>
      <c r="Q3">
        <v>3407</v>
      </c>
      <c r="R3">
        <v>1242</v>
      </c>
      <c r="S3">
        <v>722</v>
      </c>
      <c r="T3">
        <v>213</v>
      </c>
      <c r="U3">
        <v>112</v>
      </c>
      <c r="V3">
        <v>379</v>
      </c>
      <c r="X3" t="s">
        <v>15</v>
      </c>
      <c r="Y3">
        <f>276/528</f>
        <v>0.52272727272727271</v>
      </c>
      <c r="Z3">
        <f>116/146</f>
        <v>0.79452054794520544</v>
      </c>
      <c r="AA3">
        <v>76</v>
      </c>
      <c r="AB3">
        <v>744</v>
      </c>
      <c r="AC3">
        <v>274</v>
      </c>
      <c r="AD3">
        <v>160</v>
      </c>
      <c r="AE3">
        <v>39</v>
      </c>
      <c r="AF3">
        <v>20</v>
      </c>
      <c r="AG3">
        <v>83</v>
      </c>
      <c r="AI3" s="15" t="s">
        <v>15</v>
      </c>
      <c r="AJ3" s="2" t="s">
        <v>23</v>
      </c>
      <c r="AK3" s="3" t="s">
        <v>29</v>
      </c>
      <c r="AL3" s="4" t="s">
        <v>26</v>
      </c>
      <c r="AM3" s="4" t="s">
        <v>30</v>
      </c>
      <c r="AN3" s="3" t="s">
        <v>29</v>
      </c>
      <c r="AO3" s="3" t="s">
        <v>24</v>
      </c>
      <c r="AP3" s="3" t="s">
        <v>25</v>
      </c>
      <c r="AQ3" s="3" t="s">
        <v>24</v>
      </c>
      <c r="AR3" s="4" t="s">
        <v>37</v>
      </c>
      <c r="AS3" s="20" t="s">
        <v>26</v>
      </c>
    </row>
    <row r="4" spans="2:46" ht="30" customHeight="1" x14ac:dyDescent="0.2">
      <c r="B4" t="s">
        <v>15</v>
      </c>
      <c r="C4">
        <v>0.48399999999999999</v>
      </c>
      <c r="D4">
        <v>0.79600000000000004</v>
      </c>
      <c r="E4">
        <v>267</v>
      </c>
      <c r="F4">
        <v>2663</v>
      </c>
      <c r="G4">
        <v>968</v>
      </c>
      <c r="H4">
        <v>562</v>
      </c>
      <c r="I4">
        <v>174</v>
      </c>
      <c r="J4">
        <v>92</v>
      </c>
      <c r="K4">
        <v>296</v>
      </c>
      <c r="M4" t="s">
        <v>12</v>
      </c>
      <c r="N4">
        <v>0.48199999999999998</v>
      </c>
      <c r="O4">
        <v>0.76900000000000002</v>
      </c>
      <c r="P4">
        <v>368</v>
      </c>
      <c r="Q4">
        <v>3546</v>
      </c>
      <c r="R4">
        <v>1215</v>
      </c>
      <c r="S4">
        <v>842</v>
      </c>
      <c r="T4">
        <v>177</v>
      </c>
      <c r="U4">
        <v>105</v>
      </c>
      <c r="V4">
        <v>456</v>
      </c>
      <c r="X4" t="s">
        <v>12</v>
      </c>
      <c r="Y4">
        <f>279/577</f>
        <v>0.48353552859618715</v>
      </c>
      <c r="Z4">
        <f>142/191</f>
        <v>0.74345549738219896</v>
      </c>
      <c r="AA4">
        <v>94</v>
      </c>
      <c r="AB4">
        <v>794</v>
      </c>
      <c r="AC4">
        <v>270</v>
      </c>
      <c r="AD4">
        <v>184</v>
      </c>
      <c r="AE4">
        <v>34</v>
      </c>
      <c r="AF4">
        <v>23</v>
      </c>
      <c r="AG4">
        <v>93</v>
      </c>
      <c r="AI4" s="15" t="s">
        <v>12</v>
      </c>
      <c r="AJ4" s="4" t="s">
        <v>30</v>
      </c>
      <c r="AK4" s="2" t="s">
        <v>23</v>
      </c>
      <c r="AL4" s="4" t="s">
        <v>30</v>
      </c>
      <c r="AM4" s="3" t="s">
        <v>25</v>
      </c>
      <c r="AN4" s="3" t="s">
        <v>29</v>
      </c>
      <c r="AO4" s="3" t="s">
        <v>24</v>
      </c>
      <c r="AP4" s="3" t="s">
        <v>29</v>
      </c>
      <c r="AQ4" s="3" t="s">
        <v>29</v>
      </c>
      <c r="AR4" s="3" t="s">
        <v>29</v>
      </c>
      <c r="AS4" s="20" t="s">
        <v>26</v>
      </c>
    </row>
    <row r="5" spans="2:46" ht="30" customHeight="1" x14ac:dyDescent="0.2">
      <c r="B5" t="s">
        <v>12</v>
      </c>
      <c r="C5">
        <v>0.48099999999999998</v>
      </c>
      <c r="D5">
        <v>0.77700000000000002</v>
      </c>
      <c r="E5">
        <v>274</v>
      </c>
      <c r="F5">
        <v>2752</v>
      </c>
      <c r="G5">
        <v>945</v>
      </c>
      <c r="H5">
        <v>658</v>
      </c>
      <c r="I5">
        <v>143</v>
      </c>
      <c r="J5">
        <v>82</v>
      </c>
      <c r="K5">
        <v>363</v>
      </c>
      <c r="M5" t="s">
        <v>10</v>
      </c>
      <c r="N5">
        <v>0.47699999999999998</v>
      </c>
      <c r="O5">
        <v>0.83299999999999996</v>
      </c>
      <c r="P5">
        <v>384</v>
      </c>
      <c r="Q5">
        <v>3689</v>
      </c>
      <c r="R5">
        <v>1368</v>
      </c>
      <c r="S5">
        <v>837</v>
      </c>
      <c r="T5">
        <v>271</v>
      </c>
      <c r="U5">
        <v>182</v>
      </c>
      <c r="V5">
        <v>503</v>
      </c>
      <c r="X5" t="s">
        <v>10</v>
      </c>
      <c r="Y5">
        <f>248/549</f>
        <v>0.45173041894353372</v>
      </c>
      <c r="Z5">
        <f>126/145</f>
        <v>0.86896551724137927</v>
      </c>
      <c r="AA5">
        <v>95</v>
      </c>
      <c r="AB5">
        <v>717</v>
      </c>
      <c r="AC5">
        <v>237</v>
      </c>
      <c r="AD5">
        <v>179</v>
      </c>
      <c r="AE5">
        <v>50</v>
      </c>
      <c r="AF5">
        <v>36</v>
      </c>
      <c r="AG5">
        <v>81</v>
      </c>
      <c r="AI5" s="15" t="s">
        <v>10</v>
      </c>
      <c r="AJ5" s="3" t="s">
        <v>25</v>
      </c>
      <c r="AK5" s="3" t="s">
        <v>29</v>
      </c>
      <c r="AL5" s="2" t="s">
        <v>23</v>
      </c>
      <c r="AM5" s="3" t="s">
        <v>25</v>
      </c>
      <c r="AN5" s="3" t="s">
        <v>24</v>
      </c>
      <c r="AO5" s="3" t="s">
        <v>27</v>
      </c>
      <c r="AP5" s="3" t="s">
        <v>34</v>
      </c>
      <c r="AQ5" s="3" t="s">
        <v>27</v>
      </c>
      <c r="AR5" s="3" t="s">
        <v>24</v>
      </c>
      <c r="AS5" s="9" t="s">
        <v>29</v>
      </c>
    </row>
    <row r="6" spans="2:46" ht="30" customHeight="1" x14ac:dyDescent="0.2">
      <c r="B6" t="s">
        <v>11</v>
      </c>
      <c r="C6">
        <v>0.47399999999999998</v>
      </c>
      <c r="D6">
        <v>0.749</v>
      </c>
      <c r="E6">
        <v>312</v>
      </c>
      <c r="F6">
        <v>3191</v>
      </c>
      <c r="G6">
        <v>1053</v>
      </c>
      <c r="H6">
        <v>652</v>
      </c>
      <c r="I6">
        <v>179</v>
      </c>
      <c r="J6">
        <v>100</v>
      </c>
      <c r="K6">
        <v>344</v>
      </c>
      <c r="M6" t="s">
        <v>11</v>
      </c>
      <c r="N6">
        <v>0.47499999999999998</v>
      </c>
      <c r="O6">
        <v>0.74</v>
      </c>
      <c r="P6">
        <v>382</v>
      </c>
      <c r="Q6">
        <v>3958</v>
      </c>
      <c r="R6">
        <v>1335</v>
      </c>
      <c r="S6">
        <v>825</v>
      </c>
      <c r="T6">
        <v>221</v>
      </c>
      <c r="U6">
        <v>134</v>
      </c>
      <c r="V6">
        <v>452</v>
      </c>
      <c r="X6" t="s">
        <v>11</v>
      </c>
      <c r="Y6">
        <f>290/603</f>
        <v>0.48092868988391374</v>
      </c>
      <c r="Z6">
        <f>117/167</f>
        <v>0.70059880239520955</v>
      </c>
      <c r="AA6">
        <v>70</v>
      </c>
      <c r="AB6">
        <v>767</v>
      </c>
      <c r="AC6">
        <v>282</v>
      </c>
      <c r="AD6">
        <v>173</v>
      </c>
      <c r="AE6">
        <v>42</v>
      </c>
      <c r="AF6">
        <v>34</v>
      </c>
      <c r="AG6">
        <v>108</v>
      </c>
      <c r="AI6" s="15" t="s">
        <v>11</v>
      </c>
      <c r="AJ6" s="3" t="s">
        <v>29</v>
      </c>
      <c r="AK6" s="4" t="s">
        <v>26</v>
      </c>
      <c r="AL6" s="4" t="s">
        <v>26</v>
      </c>
      <c r="AM6" s="2" t="s">
        <v>23</v>
      </c>
      <c r="AN6" s="3" t="s">
        <v>29</v>
      </c>
      <c r="AO6" s="3" t="s">
        <v>24</v>
      </c>
      <c r="AP6" s="3" t="s">
        <v>29</v>
      </c>
      <c r="AQ6" s="3" t="s">
        <v>33</v>
      </c>
      <c r="AR6" s="3" t="s">
        <v>29</v>
      </c>
      <c r="AS6" s="20" t="s">
        <v>30</v>
      </c>
    </row>
    <row r="7" spans="2:46" ht="30" customHeight="1" x14ac:dyDescent="0.2">
      <c r="B7" t="s">
        <v>13</v>
      </c>
      <c r="C7">
        <v>0.47199999999999998</v>
      </c>
      <c r="D7">
        <v>0.84099999999999997</v>
      </c>
      <c r="E7">
        <v>294</v>
      </c>
      <c r="F7">
        <v>2707</v>
      </c>
      <c r="G7">
        <v>781</v>
      </c>
      <c r="H7">
        <v>575</v>
      </c>
      <c r="I7">
        <v>147</v>
      </c>
      <c r="J7">
        <v>90</v>
      </c>
      <c r="K7">
        <v>317</v>
      </c>
      <c r="M7" t="s">
        <v>19</v>
      </c>
      <c r="N7">
        <v>0.47399999999999998</v>
      </c>
      <c r="O7">
        <v>0.83199999999999996</v>
      </c>
      <c r="P7">
        <v>306</v>
      </c>
      <c r="Q7">
        <v>3179</v>
      </c>
      <c r="R7">
        <v>1064</v>
      </c>
      <c r="S7">
        <v>909</v>
      </c>
      <c r="T7">
        <v>212</v>
      </c>
      <c r="U7">
        <v>119</v>
      </c>
      <c r="V7">
        <v>361</v>
      </c>
      <c r="X7" t="s">
        <v>19</v>
      </c>
      <c r="Y7">
        <f>229/472</f>
        <v>0.48516949152542371</v>
      </c>
      <c r="Z7">
        <f>104/125</f>
        <v>0.83199999999999996</v>
      </c>
      <c r="AA7">
        <v>52</v>
      </c>
      <c r="AB7">
        <v>614</v>
      </c>
      <c r="AC7">
        <v>212</v>
      </c>
      <c r="AD7">
        <v>147</v>
      </c>
      <c r="AE7">
        <v>43</v>
      </c>
      <c r="AF7">
        <v>22</v>
      </c>
      <c r="AG7">
        <v>63</v>
      </c>
      <c r="AI7" s="15" t="s">
        <v>19</v>
      </c>
      <c r="AJ7" s="4" t="s">
        <v>30</v>
      </c>
      <c r="AK7" s="4" t="s">
        <v>30</v>
      </c>
      <c r="AL7" s="4" t="s">
        <v>28</v>
      </c>
      <c r="AM7" s="4" t="s">
        <v>30</v>
      </c>
      <c r="AN7" s="2" t="s">
        <v>23</v>
      </c>
      <c r="AO7" s="3" t="s">
        <v>40</v>
      </c>
      <c r="AP7" s="4" t="s">
        <v>37</v>
      </c>
      <c r="AQ7" s="3" t="s">
        <v>24</v>
      </c>
      <c r="AR7" s="4" t="s">
        <v>37</v>
      </c>
      <c r="AS7" s="20" t="s">
        <v>28</v>
      </c>
    </row>
    <row r="8" spans="2:46" ht="30" customHeight="1" x14ac:dyDescent="0.2">
      <c r="B8" t="s">
        <v>19</v>
      </c>
      <c r="C8">
        <v>0.47199999999999998</v>
      </c>
      <c r="D8">
        <v>0.83199999999999996</v>
      </c>
      <c r="E8">
        <v>254</v>
      </c>
      <c r="F8">
        <v>2565</v>
      </c>
      <c r="G8">
        <v>852</v>
      </c>
      <c r="H8">
        <v>762</v>
      </c>
      <c r="I8">
        <v>169</v>
      </c>
      <c r="J8">
        <v>97</v>
      </c>
      <c r="K8">
        <v>298</v>
      </c>
      <c r="M8" t="s">
        <v>13</v>
      </c>
      <c r="N8">
        <v>0.46700000000000003</v>
      </c>
      <c r="O8">
        <v>0.83699999999999997</v>
      </c>
      <c r="P8">
        <v>345</v>
      </c>
      <c r="Q8">
        <v>3191</v>
      </c>
      <c r="R8">
        <v>960</v>
      </c>
      <c r="S8">
        <v>713</v>
      </c>
      <c r="T8">
        <v>169</v>
      </c>
      <c r="U8">
        <v>109</v>
      </c>
      <c r="V8">
        <v>383</v>
      </c>
      <c r="X8" t="s">
        <v>13</v>
      </c>
      <c r="Y8">
        <f>167/380</f>
        <v>0.43947368421052629</v>
      </c>
      <c r="Z8">
        <f>99/121</f>
        <v>0.81818181818181823</v>
      </c>
      <c r="AA8">
        <v>51</v>
      </c>
      <c r="AB8">
        <v>484</v>
      </c>
      <c r="AC8">
        <v>179</v>
      </c>
      <c r="AD8">
        <v>138</v>
      </c>
      <c r="AE8">
        <v>22</v>
      </c>
      <c r="AF8">
        <v>19</v>
      </c>
      <c r="AG8">
        <v>66</v>
      </c>
      <c r="AI8" s="15" t="s">
        <v>13</v>
      </c>
      <c r="AJ8" s="4" t="s">
        <v>28</v>
      </c>
      <c r="AK8" s="4" t="s">
        <v>28</v>
      </c>
      <c r="AL8" s="4" t="s">
        <v>31</v>
      </c>
      <c r="AM8" s="4" t="s">
        <v>28</v>
      </c>
      <c r="AN8" s="4" t="s">
        <v>41</v>
      </c>
      <c r="AO8" s="2" t="s">
        <v>23</v>
      </c>
      <c r="AP8" s="4" t="s">
        <v>28</v>
      </c>
      <c r="AQ8" s="3" t="s">
        <v>29</v>
      </c>
      <c r="AR8" s="4" t="s">
        <v>28</v>
      </c>
      <c r="AS8" s="20" t="s">
        <v>31</v>
      </c>
    </row>
    <row r="9" spans="2:46" ht="30" customHeight="1" x14ac:dyDescent="0.2">
      <c r="B9" t="s">
        <v>16</v>
      </c>
      <c r="C9">
        <v>0.46800000000000003</v>
      </c>
      <c r="D9">
        <v>0.80300000000000005</v>
      </c>
      <c r="E9">
        <v>287</v>
      </c>
      <c r="F9">
        <v>2671</v>
      </c>
      <c r="G9">
        <v>887</v>
      </c>
      <c r="H9">
        <v>661</v>
      </c>
      <c r="I9">
        <v>157</v>
      </c>
      <c r="J9">
        <v>79</v>
      </c>
      <c r="K9">
        <v>347</v>
      </c>
      <c r="M9" t="s">
        <v>18</v>
      </c>
      <c r="N9">
        <v>0.46600000000000003</v>
      </c>
      <c r="O9">
        <v>0.73699999999999999</v>
      </c>
      <c r="P9">
        <v>343</v>
      </c>
      <c r="Q9">
        <v>2719</v>
      </c>
      <c r="R9">
        <v>1131</v>
      </c>
      <c r="S9">
        <v>531</v>
      </c>
      <c r="T9">
        <v>189</v>
      </c>
      <c r="U9">
        <v>161</v>
      </c>
      <c r="V9">
        <v>298</v>
      </c>
      <c r="X9" t="s">
        <v>18</v>
      </c>
      <c r="Y9">
        <f>221/437</f>
        <v>0.50572082379862704</v>
      </c>
      <c r="Z9">
        <f>51/75</f>
        <v>0.68</v>
      </c>
      <c r="AA9">
        <v>64</v>
      </c>
      <c r="AB9">
        <v>557</v>
      </c>
      <c r="AC9">
        <v>238</v>
      </c>
      <c r="AD9">
        <v>103</v>
      </c>
      <c r="AE9">
        <v>43</v>
      </c>
      <c r="AF9">
        <v>36</v>
      </c>
      <c r="AG9">
        <v>49</v>
      </c>
      <c r="AI9" s="15" t="s">
        <v>18</v>
      </c>
      <c r="AJ9" s="4" t="s">
        <v>26</v>
      </c>
      <c r="AK9" s="4" t="s">
        <v>30</v>
      </c>
      <c r="AL9" s="4" t="s">
        <v>37</v>
      </c>
      <c r="AM9" s="4" t="s">
        <v>30</v>
      </c>
      <c r="AN9" s="3" t="s">
        <v>34</v>
      </c>
      <c r="AO9" s="3" t="s">
        <v>24</v>
      </c>
      <c r="AP9" s="2" t="s">
        <v>23</v>
      </c>
      <c r="AQ9" s="3" t="s">
        <v>25</v>
      </c>
      <c r="AR9" s="4" t="s">
        <v>26</v>
      </c>
      <c r="AS9" s="20" t="s">
        <v>30</v>
      </c>
    </row>
    <row r="10" spans="2:46" ht="30" customHeight="1" x14ac:dyDescent="0.2">
      <c r="B10" t="s">
        <v>14</v>
      </c>
      <c r="C10">
        <v>0.46500000000000002</v>
      </c>
      <c r="D10">
        <v>0.80100000000000005</v>
      </c>
      <c r="E10">
        <v>361</v>
      </c>
      <c r="F10">
        <v>2960</v>
      </c>
      <c r="G10">
        <v>1074</v>
      </c>
      <c r="H10">
        <v>668</v>
      </c>
      <c r="I10">
        <v>176</v>
      </c>
      <c r="J10">
        <v>111</v>
      </c>
      <c r="K10">
        <v>340</v>
      </c>
      <c r="M10" t="s">
        <v>16</v>
      </c>
      <c r="N10">
        <v>0.46100000000000002</v>
      </c>
      <c r="O10">
        <v>0.79600000000000004</v>
      </c>
      <c r="P10">
        <v>357</v>
      </c>
      <c r="Q10">
        <v>3192</v>
      </c>
      <c r="R10">
        <v>1049</v>
      </c>
      <c r="S10">
        <v>784</v>
      </c>
      <c r="T10">
        <v>195</v>
      </c>
      <c r="U10">
        <v>106</v>
      </c>
      <c r="V10">
        <v>417</v>
      </c>
      <c r="X10" t="s">
        <v>16</v>
      </c>
      <c r="Y10">
        <f>178/419</f>
        <v>0.42482100238663484</v>
      </c>
      <c r="Z10">
        <f>95/125</f>
        <v>0.76</v>
      </c>
      <c r="AA10">
        <v>70</v>
      </c>
      <c r="AB10">
        <v>521</v>
      </c>
      <c r="AC10">
        <v>162</v>
      </c>
      <c r="AD10">
        <v>123</v>
      </c>
      <c r="AE10">
        <v>38</v>
      </c>
      <c r="AF10">
        <v>27</v>
      </c>
      <c r="AG10">
        <v>70</v>
      </c>
      <c r="AI10" s="15" t="s">
        <v>16</v>
      </c>
      <c r="AJ10" s="4" t="s">
        <v>28</v>
      </c>
      <c r="AK10" s="4" t="s">
        <v>30</v>
      </c>
      <c r="AL10" s="4" t="s">
        <v>31</v>
      </c>
      <c r="AM10" s="4" t="s">
        <v>36</v>
      </c>
      <c r="AN10" s="4" t="s">
        <v>28</v>
      </c>
      <c r="AO10" s="4" t="s">
        <v>30</v>
      </c>
      <c r="AP10" s="4" t="s">
        <v>26</v>
      </c>
      <c r="AQ10" s="2" t="s">
        <v>23</v>
      </c>
      <c r="AR10" s="4" t="s">
        <v>31</v>
      </c>
      <c r="AS10" s="20" t="s">
        <v>28</v>
      </c>
    </row>
    <row r="11" spans="2:46" ht="30" customHeight="1" x14ac:dyDescent="0.2">
      <c r="B11" t="s">
        <v>18</v>
      </c>
      <c r="C11">
        <v>0.45600000000000002</v>
      </c>
      <c r="D11">
        <v>0.747</v>
      </c>
      <c r="E11">
        <v>279</v>
      </c>
      <c r="F11">
        <v>2162</v>
      </c>
      <c r="G11">
        <v>893</v>
      </c>
      <c r="H11">
        <v>428</v>
      </c>
      <c r="I11">
        <v>146</v>
      </c>
      <c r="J11">
        <v>125</v>
      </c>
      <c r="K11">
        <v>249</v>
      </c>
      <c r="M11" t="s">
        <v>14</v>
      </c>
      <c r="N11">
        <v>0.45800000000000002</v>
      </c>
      <c r="O11">
        <v>0.80900000000000005</v>
      </c>
      <c r="P11">
        <v>437</v>
      </c>
      <c r="Q11">
        <v>3563</v>
      </c>
      <c r="R11">
        <v>1355</v>
      </c>
      <c r="S11">
        <v>816</v>
      </c>
      <c r="T11">
        <v>225</v>
      </c>
      <c r="U11">
        <v>133</v>
      </c>
      <c r="V11">
        <v>409</v>
      </c>
      <c r="X11" t="s">
        <v>14</v>
      </c>
      <c r="Y11">
        <f>215/504</f>
        <v>0.42658730158730157</v>
      </c>
      <c r="Z11">
        <f>97/113</f>
        <v>0.8584070796460177</v>
      </c>
      <c r="AA11">
        <v>76</v>
      </c>
      <c r="AB11">
        <v>603</v>
      </c>
      <c r="AC11">
        <v>281</v>
      </c>
      <c r="AD11">
        <v>148</v>
      </c>
      <c r="AE11">
        <v>49</v>
      </c>
      <c r="AF11">
        <v>22</v>
      </c>
      <c r="AG11">
        <v>69</v>
      </c>
      <c r="AI11" s="15" t="s">
        <v>14</v>
      </c>
      <c r="AJ11" s="3" t="s">
        <v>34</v>
      </c>
      <c r="AK11" s="4" t="s">
        <v>30</v>
      </c>
      <c r="AL11" s="4" t="s">
        <v>28</v>
      </c>
      <c r="AM11" s="4" t="s">
        <v>30</v>
      </c>
      <c r="AN11" s="3" t="s">
        <v>34</v>
      </c>
      <c r="AO11" s="3" t="s">
        <v>24</v>
      </c>
      <c r="AP11" s="3" t="s">
        <v>25</v>
      </c>
      <c r="AQ11" s="3" t="s">
        <v>27</v>
      </c>
      <c r="AR11" s="2" t="s">
        <v>23</v>
      </c>
      <c r="AS11" s="20" t="s">
        <v>30</v>
      </c>
    </row>
    <row r="12" spans="2:46" ht="30" customHeight="1" thickBot="1" x14ac:dyDescent="0.25">
      <c r="B12" t="s">
        <v>17</v>
      </c>
      <c r="C12">
        <v>0.45400000000000001</v>
      </c>
      <c r="D12">
        <v>0.81100000000000005</v>
      </c>
      <c r="E12">
        <v>304</v>
      </c>
      <c r="F12">
        <v>2911</v>
      </c>
      <c r="G12">
        <v>1093</v>
      </c>
      <c r="H12">
        <v>665</v>
      </c>
      <c r="I12">
        <v>171</v>
      </c>
      <c r="J12">
        <v>139</v>
      </c>
      <c r="K12">
        <v>396</v>
      </c>
      <c r="M12" t="s">
        <v>17</v>
      </c>
      <c r="N12">
        <v>0.45400000000000001</v>
      </c>
      <c r="O12">
        <v>0.82099999999999995</v>
      </c>
      <c r="P12">
        <v>414</v>
      </c>
      <c r="Q12">
        <v>3766</v>
      </c>
      <c r="R12">
        <v>1326</v>
      </c>
      <c r="S12">
        <v>866</v>
      </c>
      <c r="T12">
        <v>217</v>
      </c>
      <c r="U12">
        <v>163</v>
      </c>
      <c r="V12">
        <v>514</v>
      </c>
      <c r="X12" t="s">
        <v>17</v>
      </c>
      <c r="Y12">
        <f>299/655</f>
        <v>0.45648854961832064</v>
      </c>
      <c r="Z12">
        <f>147/172</f>
        <v>0.85465116279069764</v>
      </c>
      <c r="AA12">
        <v>110</v>
      </c>
      <c r="AB12">
        <v>855</v>
      </c>
      <c r="AC12">
        <v>233</v>
      </c>
      <c r="AD12">
        <v>201</v>
      </c>
      <c r="AE12">
        <v>46</v>
      </c>
      <c r="AF12">
        <v>24</v>
      </c>
      <c r="AG12">
        <v>118</v>
      </c>
      <c r="AI12" s="16" t="s">
        <v>17</v>
      </c>
      <c r="AJ12" s="18" t="s">
        <v>25</v>
      </c>
      <c r="AK12" s="18" t="s">
        <v>25</v>
      </c>
      <c r="AL12" s="11" t="s">
        <v>30</v>
      </c>
      <c r="AM12" s="18" t="s">
        <v>29</v>
      </c>
      <c r="AN12" s="18" t="s">
        <v>24</v>
      </c>
      <c r="AO12" s="18" t="s">
        <v>27</v>
      </c>
      <c r="AP12" s="18" t="s">
        <v>29</v>
      </c>
      <c r="AQ12" s="18" t="s">
        <v>24</v>
      </c>
      <c r="AR12" s="18" t="s">
        <v>29</v>
      </c>
      <c r="AS12" s="12" t="s">
        <v>23</v>
      </c>
    </row>
    <row r="14" spans="2:46" x14ac:dyDescent="0.2">
      <c r="AT14" s="1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9E4A-D8F8-5E45-BD85-64EFA37A73C5}">
  <sheetPr codeName="Sheet6"/>
  <dimension ref="B1:AT14"/>
  <sheetViews>
    <sheetView zoomScale="75" zoomScaleNormal="100" workbookViewId="0">
      <selection activeCell="M2" sqref="M2:V12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45</v>
      </c>
      <c r="AJ2" s="6" t="s">
        <v>15</v>
      </c>
      <c r="AK2" s="6" t="s">
        <v>12</v>
      </c>
      <c r="AL2" s="6" t="s">
        <v>19</v>
      </c>
      <c r="AM2" s="6" t="s">
        <v>10</v>
      </c>
      <c r="AN2" s="6" t="s">
        <v>11</v>
      </c>
      <c r="AO2" s="6" t="s">
        <v>13</v>
      </c>
      <c r="AP2" s="6" t="s">
        <v>16</v>
      </c>
      <c r="AQ2" s="6" t="s">
        <v>18</v>
      </c>
      <c r="AR2" s="6" t="s">
        <v>14</v>
      </c>
      <c r="AS2" s="7" t="s">
        <v>17</v>
      </c>
      <c r="AT2" s="1"/>
    </row>
    <row r="3" spans="2:46" ht="30" customHeight="1" x14ac:dyDescent="0.2">
      <c r="B3" t="s">
        <v>15</v>
      </c>
      <c r="C3">
        <v>0.49199999999999999</v>
      </c>
      <c r="D3">
        <v>0.79500000000000004</v>
      </c>
      <c r="E3">
        <v>343</v>
      </c>
      <c r="F3">
        <v>3407</v>
      </c>
      <c r="G3">
        <v>1242</v>
      </c>
      <c r="H3">
        <v>722</v>
      </c>
      <c r="I3">
        <v>213</v>
      </c>
      <c r="J3">
        <v>112</v>
      </c>
      <c r="K3">
        <v>379</v>
      </c>
      <c r="M3" t="s">
        <v>15</v>
      </c>
      <c r="N3">
        <v>0.498</v>
      </c>
      <c r="O3">
        <v>0.78700000000000003</v>
      </c>
      <c r="P3">
        <v>431</v>
      </c>
      <c r="Q3">
        <v>4225</v>
      </c>
      <c r="R3">
        <v>1593</v>
      </c>
      <c r="S3">
        <v>895</v>
      </c>
      <c r="T3">
        <v>251</v>
      </c>
      <c r="U3">
        <v>141</v>
      </c>
      <c r="V3">
        <v>465</v>
      </c>
      <c r="X3" t="s">
        <v>15</v>
      </c>
      <c r="Y3">
        <f>321/618</f>
        <v>0.51941747572815533</v>
      </c>
      <c r="Z3">
        <f>88/119</f>
        <v>0.73949579831932777</v>
      </c>
      <c r="AA3">
        <v>88</v>
      </c>
      <c r="AB3">
        <v>818</v>
      </c>
      <c r="AC3">
        <v>351</v>
      </c>
      <c r="AD3">
        <v>173</v>
      </c>
      <c r="AE3">
        <v>38</v>
      </c>
      <c r="AF3">
        <v>29</v>
      </c>
      <c r="AG3">
        <v>86</v>
      </c>
      <c r="AI3" s="15" t="s">
        <v>15</v>
      </c>
      <c r="AJ3" s="2" t="s">
        <v>23</v>
      </c>
      <c r="AK3" s="3" t="s">
        <v>33</v>
      </c>
      <c r="AL3" s="3" t="s">
        <v>29</v>
      </c>
      <c r="AM3" s="3" t="s">
        <v>24</v>
      </c>
      <c r="AN3" s="3" t="s">
        <v>29</v>
      </c>
      <c r="AO3" s="3" t="s">
        <v>24</v>
      </c>
      <c r="AP3" s="3" t="s">
        <v>29</v>
      </c>
      <c r="AQ3" s="3" t="s">
        <v>24</v>
      </c>
      <c r="AR3" s="4" t="s">
        <v>30</v>
      </c>
      <c r="AS3" s="9" t="s">
        <v>25</v>
      </c>
    </row>
    <row r="4" spans="2:46" ht="30" customHeight="1" x14ac:dyDescent="0.2">
      <c r="B4" t="s">
        <v>12</v>
      </c>
      <c r="C4">
        <v>0.48199999999999998</v>
      </c>
      <c r="D4">
        <v>0.76900000000000002</v>
      </c>
      <c r="E4">
        <v>368</v>
      </c>
      <c r="F4">
        <v>3546</v>
      </c>
      <c r="G4">
        <v>1215</v>
      </c>
      <c r="H4">
        <v>842</v>
      </c>
      <c r="I4">
        <v>177</v>
      </c>
      <c r="J4">
        <v>105</v>
      </c>
      <c r="K4">
        <v>456</v>
      </c>
      <c r="M4" t="s">
        <v>12</v>
      </c>
      <c r="N4">
        <v>0.48099999999999998</v>
      </c>
      <c r="O4">
        <v>0.76900000000000002</v>
      </c>
      <c r="P4">
        <v>454</v>
      </c>
      <c r="Q4">
        <v>4281</v>
      </c>
      <c r="R4">
        <v>1464</v>
      </c>
      <c r="S4">
        <v>1034</v>
      </c>
      <c r="T4">
        <v>215</v>
      </c>
      <c r="U4">
        <v>127</v>
      </c>
      <c r="V4">
        <v>545</v>
      </c>
      <c r="X4" t="s">
        <v>12</v>
      </c>
      <c r="Y4">
        <f>271/565</f>
        <v>0.47964601769911502</v>
      </c>
      <c r="Z4">
        <f>107/139</f>
        <v>0.76978417266187049</v>
      </c>
      <c r="AA4">
        <v>86</v>
      </c>
      <c r="AB4">
        <v>735</v>
      </c>
      <c r="AC4">
        <v>249</v>
      </c>
      <c r="AD4">
        <v>192</v>
      </c>
      <c r="AE4">
        <v>38</v>
      </c>
      <c r="AF4">
        <v>22</v>
      </c>
      <c r="AG4">
        <v>89</v>
      </c>
      <c r="AI4" s="15" t="s">
        <v>12</v>
      </c>
      <c r="AJ4" s="4" t="s">
        <v>36</v>
      </c>
      <c r="AK4" s="2" t="s">
        <v>23</v>
      </c>
      <c r="AL4" s="4" t="s">
        <v>36</v>
      </c>
      <c r="AM4" s="3" t="s">
        <v>27</v>
      </c>
      <c r="AN4" s="4" t="s">
        <v>30</v>
      </c>
      <c r="AO4" s="3" t="s">
        <v>25</v>
      </c>
      <c r="AP4" s="4" t="s">
        <v>30</v>
      </c>
      <c r="AQ4" s="3" t="s">
        <v>24</v>
      </c>
      <c r="AR4" s="4" t="s">
        <v>28</v>
      </c>
      <c r="AS4" s="20" t="s">
        <v>30</v>
      </c>
    </row>
    <row r="5" spans="2:46" ht="30" customHeight="1" x14ac:dyDescent="0.2">
      <c r="B5" t="s">
        <v>10</v>
      </c>
      <c r="C5">
        <v>0.47699999999999998</v>
      </c>
      <c r="D5">
        <v>0.83299999999999996</v>
      </c>
      <c r="E5">
        <v>384</v>
      </c>
      <c r="F5">
        <v>3689</v>
      </c>
      <c r="G5">
        <v>1368</v>
      </c>
      <c r="H5">
        <v>837</v>
      </c>
      <c r="I5">
        <v>271</v>
      </c>
      <c r="J5">
        <v>182</v>
      </c>
      <c r="K5">
        <v>503</v>
      </c>
      <c r="M5" t="s">
        <v>19</v>
      </c>
      <c r="N5">
        <v>0.48</v>
      </c>
      <c r="O5">
        <v>0.84099999999999997</v>
      </c>
      <c r="P5">
        <v>389</v>
      </c>
      <c r="Q5">
        <v>3943</v>
      </c>
      <c r="R5">
        <v>1283</v>
      </c>
      <c r="S5">
        <v>1111</v>
      </c>
      <c r="T5">
        <v>255</v>
      </c>
      <c r="U5">
        <v>141</v>
      </c>
      <c r="V5">
        <v>427</v>
      </c>
      <c r="X5" t="s">
        <v>19</v>
      </c>
      <c r="Y5">
        <f>264/522</f>
        <v>0.50574712643678166</v>
      </c>
      <c r="Z5">
        <f>153/175</f>
        <v>0.87428571428571433</v>
      </c>
      <c r="AA5">
        <v>83</v>
      </c>
      <c r="AB5">
        <v>764</v>
      </c>
      <c r="AC5">
        <v>219</v>
      </c>
      <c r="AD5">
        <v>202</v>
      </c>
      <c r="AE5">
        <v>43</v>
      </c>
      <c r="AF5">
        <v>22</v>
      </c>
      <c r="AG5">
        <v>66</v>
      </c>
      <c r="AI5" s="15" t="s">
        <v>19</v>
      </c>
      <c r="AJ5" s="4" t="s">
        <v>30</v>
      </c>
      <c r="AK5" s="3" t="s">
        <v>33</v>
      </c>
      <c r="AL5" s="2" t="s">
        <v>23</v>
      </c>
      <c r="AM5" s="3" t="s">
        <v>27</v>
      </c>
      <c r="AN5" s="3" t="s">
        <v>25</v>
      </c>
      <c r="AO5" s="3" t="s">
        <v>27</v>
      </c>
      <c r="AP5" s="4" t="s">
        <v>30</v>
      </c>
      <c r="AQ5" s="3" t="s">
        <v>27</v>
      </c>
      <c r="AR5" s="3" t="s">
        <v>29</v>
      </c>
      <c r="AS5" s="9" t="s">
        <v>29</v>
      </c>
    </row>
    <row r="6" spans="2:46" ht="30" customHeight="1" x14ac:dyDescent="0.2">
      <c r="B6" t="s">
        <v>11</v>
      </c>
      <c r="C6">
        <v>0.47499999999999998</v>
      </c>
      <c r="D6">
        <v>0.74</v>
      </c>
      <c r="E6">
        <v>382</v>
      </c>
      <c r="F6">
        <v>3958</v>
      </c>
      <c r="G6">
        <v>1335</v>
      </c>
      <c r="H6">
        <v>825</v>
      </c>
      <c r="I6">
        <v>221</v>
      </c>
      <c r="J6">
        <v>134</v>
      </c>
      <c r="K6">
        <v>452</v>
      </c>
      <c r="M6" t="s">
        <v>10</v>
      </c>
      <c r="N6">
        <v>0.47299999999999998</v>
      </c>
      <c r="O6">
        <v>0.82399999999999995</v>
      </c>
      <c r="P6">
        <v>445</v>
      </c>
      <c r="Q6">
        <v>4232</v>
      </c>
      <c r="R6">
        <v>1591</v>
      </c>
      <c r="S6">
        <v>956</v>
      </c>
      <c r="T6">
        <v>308</v>
      </c>
      <c r="U6">
        <v>201</v>
      </c>
      <c r="V6">
        <v>577</v>
      </c>
      <c r="X6" t="s">
        <v>10</v>
      </c>
      <c r="Y6">
        <f>202/450</f>
        <v>0.44888888888888889</v>
      </c>
      <c r="Z6">
        <f>78/104</f>
        <v>0.75</v>
      </c>
      <c r="AA6">
        <v>61</v>
      </c>
      <c r="AB6">
        <v>543</v>
      </c>
      <c r="AC6">
        <v>223</v>
      </c>
      <c r="AD6">
        <v>119</v>
      </c>
      <c r="AE6">
        <v>37</v>
      </c>
      <c r="AF6">
        <v>19</v>
      </c>
      <c r="AG6">
        <v>74</v>
      </c>
      <c r="AI6" s="15" t="s">
        <v>10</v>
      </c>
      <c r="AJ6" s="4" t="s">
        <v>28</v>
      </c>
      <c r="AK6" s="4" t="s">
        <v>31</v>
      </c>
      <c r="AL6" s="4" t="s">
        <v>31</v>
      </c>
      <c r="AM6" s="2" t="s">
        <v>23</v>
      </c>
      <c r="AN6" s="4" t="s">
        <v>31</v>
      </c>
      <c r="AO6" s="3" t="s">
        <v>29</v>
      </c>
      <c r="AP6" s="4" t="s">
        <v>31</v>
      </c>
      <c r="AQ6" s="13" t="s">
        <v>35</v>
      </c>
      <c r="AR6" s="4" t="s">
        <v>31</v>
      </c>
      <c r="AS6" s="20" t="s">
        <v>31</v>
      </c>
    </row>
    <row r="7" spans="2:46" ht="30" customHeight="1" x14ac:dyDescent="0.2">
      <c r="B7" t="s">
        <v>19</v>
      </c>
      <c r="C7">
        <v>0.47399999999999998</v>
      </c>
      <c r="D7">
        <v>0.83199999999999996</v>
      </c>
      <c r="E7">
        <v>306</v>
      </c>
      <c r="F7">
        <v>3179</v>
      </c>
      <c r="G7">
        <v>1064</v>
      </c>
      <c r="H7">
        <v>909</v>
      </c>
      <c r="I7">
        <v>212</v>
      </c>
      <c r="J7">
        <v>119</v>
      </c>
      <c r="K7">
        <v>361</v>
      </c>
      <c r="M7" t="s">
        <v>11</v>
      </c>
      <c r="N7">
        <v>0.47199999999999998</v>
      </c>
      <c r="O7">
        <v>0.75</v>
      </c>
      <c r="P7">
        <v>459</v>
      </c>
      <c r="Q7">
        <v>4719</v>
      </c>
      <c r="R7">
        <v>1612</v>
      </c>
      <c r="S7">
        <v>1005</v>
      </c>
      <c r="T7">
        <v>270</v>
      </c>
      <c r="U7">
        <v>168</v>
      </c>
      <c r="V7">
        <v>566</v>
      </c>
      <c r="X7" t="s">
        <v>11</v>
      </c>
      <c r="Y7">
        <f>281/618</f>
        <v>0.45469255663430419</v>
      </c>
      <c r="Z7">
        <f>122/151</f>
        <v>0.80794701986754969</v>
      </c>
      <c r="AA7">
        <v>77</v>
      </c>
      <c r="AB7">
        <v>761</v>
      </c>
      <c r="AC7">
        <v>277</v>
      </c>
      <c r="AD7">
        <v>180</v>
      </c>
      <c r="AE7">
        <v>49</v>
      </c>
      <c r="AF7">
        <v>34</v>
      </c>
      <c r="AG7">
        <v>114</v>
      </c>
      <c r="AI7" s="15" t="s">
        <v>11</v>
      </c>
      <c r="AJ7" s="4" t="s">
        <v>30</v>
      </c>
      <c r="AK7" s="3" t="s">
        <v>29</v>
      </c>
      <c r="AL7" s="4" t="s">
        <v>26</v>
      </c>
      <c r="AM7" s="3" t="s">
        <v>27</v>
      </c>
      <c r="AN7" s="2" t="s">
        <v>23</v>
      </c>
      <c r="AO7" s="3" t="s">
        <v>25</v>
      </c>
      <c r="AP7" s="4" t="s">
        <v>28</v>
      </c>
      <c r="AQ7" s="3" t="s">
        <v>24</v>
      </c>
      <c r="AR7" s="4" t="s">
        <v>43</v>
      </c>
      <c r="AS7" s="20" t="s">
        <v>28</v>
      </c>
    </row>
    <row r="8" spans="2:46" ht="30" customHeight="1" x14ac:dyDescent="0.2">
      <c r="B8" t="s">
        <v>13</v>
      </c>
      <c r="C8">
        <v>0.46700000000000003</v>
      </c>
      <c r="D8">
        <v>0.83699999999999997</v>
      </c>
      <c r="E8">
        <v>345</v>
      </c>
      <c r="F8">
        <v>3191</v>
      </c>
      <c r="G8">
        <v>960</v>
      </c>
      <c r="H8">
        <v>713</v>
      </c>
      <c r="I8">
        <v>169</v>
      </c>
      <c r="J8">
        <v>109</v>
      </c>
      <c r="K8">
        <v>383</v>
      </c>
      <c r="M8" t="s">
        <v>13</v>
      </c>
      <c r="N8">
        <v>0.47</v>
      </c>
      <c r="O8">
        <v>0.83899999999999997</v>
      </c>
      <c r="P8">
        <v>387</v>
      </c>
      <c r="Q8">
        <v>3606</v>
      </c>
      <c r="R8">
        <v>1121</v>
      </c>
      <c r="S8">
        <v>843</v>
      </c>
      <c r="T8">
        <v>188</v>
      </c>
      <c r="U8">
        <v>117</v>
      </c>
      <c r="V8">
        <v>440</v>
      </c>
      <c r="X8" t="s">
        <v>13</v>
      </c>
      <c r="Y8">
        <f>149/304</f>
        <v>0.49013157894736842</v>
      </c>
      <c r="Z8">
        <f>75/88</f>
        <v>0.85227272727272729</v>
      </c>
      <c r="AA8">
        <v>42</v>
      </c>
      <c r="AB8">
        <v>415</v>
      </c>
      <c r="AC8">
        <v>161</v>
      </c>
      <c r="AD8">
        <v>130</v>
      </c>
      <c r="AE8">
        <v>19</v>
      </c>
      <c r="AF8">
        <v>8</v>
      </c>
      <c r="AG8">
        <v>57</v>
      </c>
      <c r="AI8" s="15" t="s">
        <v>13</v>
      </c>
      <c r="AJ8" s="4" t="s">
        <v>28</v>
      </c>
      <c r="AK8" s="4" t="s">
        <v>26</v>
      </c>
      <c r="AL8" s="4" t="s">
        <v>31</v>
      </c>
      <c r="AM8" s="4" t="s">
        <v>30</v>
      </c>
      <c r="AN8" s="4" t="s">
        <v>26</v>
      </c>
      <c r="AO8" s="2" t="s">
        <v>23</v>
      </c>
      <c r="AP8" s="4" t="s">
        <v>26</v>
      </c>
      <c r="AQ8" s="4" t="s">
        <v>30</v>
      </c>
      <c r="AR8" s="4" t="s">
        <v>26</v>
      </c>
      <c r="AS8" s="20" t="s">
        <v>26</v>
      </c>
    </row>
    <row r="9" spans="2:46" ht="30" customHeight="1" x14ac:dyDescent="0.2">
      <c r="B9" t="s">
        <v>18</v>
      </c>
      <c r="C9">
        <v>0.46600000000000003</v>
      </c>
      <c r="D9">
        <v>0.73699999999999999</v>
      </c>
      <c r="E9">
        <v>343</v>
      </c>
      <c r="F9">
        <v>2719</v>
      </c>
      <c r="G9">
        <v>1131</v>
      </c>
      <c r="H9">
        <v>531</v>
      </c>
      <c r="I9">
        <v>189</v>
      </c>
      <c r="J9">
        <v>161</v>
      </c>
      <c r="K9">
        <v>298</v>
      </c>
      <c r="M9" t="s">
        <v>16</v>
      </c>
      <c r="N9">
        <v>0.46400000000000002</v>
      </c>
      <c r="O9">
        <v>0.79900000000000004</v>
      </c>
      <c r="P9">
        <v>436</v>
      </c>
      <c r="Q9">
        <v>3967</v>
      </c>
      <c r="R9">
        <v>1283</v>
      </c>
      <c r="S9">
        <v>1001</v>
      </c>
      <c r="T9">
        <v>245</v>
      </c>
      <c r="U9">
        <v>136</v>
      </c>
      <c r="V9">
        <v>514</v>
      </c>
      <c r="X9" t="s">
        <v>16</v>
      </c>
      <c r="Y9">
        <f>286/601</f>
        <v>0.47587354409317806</v>
      </c>
      <c r="Z9">
        <f>124/152</f>
        <v>0.81578947368421051</v>
      </c>
      <c r="AA9">
        <v>79</v>
      </c>
      <c r="AB9">
        <v>775</v>
      </c>
      <c r="AC9">
        <v>234</v>
      </c>
      <c r="AD9">
        <v>217</v>
      </c>
      <c r="AE9">
        <v>50</v>
      </c>
      <c r="AF9">
        <v>30</v>
      </c>
      <c r="AG9">
        <v>97</v>
      </c>
      <c r="AI9" s="15" t="s">
        <v>16</v>
      </c>
      <c r="AJ9" s="4" t="s">
        <v>30</v>
      </c>
      <c r="AK9" s="3" t="s">
        <v>29</v>
      </c>
      <c r="AL9" s="3" t="s">
        <v>29</v>
      </c>
      <c r="AM9" s="3" t="s">
        <v>27</v>
      </c>
      <c r="AN9" s="3" t="s">
        <v>24</v>
      </c>
      <c r="AO9" s="3" t="s">
        <v>25</v>
      </c>
      <c r="AP9" s="2" t="s">
        <v>23</v>
      </c>
      <c r="AQ9" s="3" t="s">
        <v>24</v>
      </c>
      <c r="AR9" s="3" t="s">
        <v>29</v>
      </c>
      <c r="AS9" s="19" t="s">
        <v>35</v>
      </c>
    </row>
    <row r="10" spans="2:46" ht="30" customHeight="1" x14ac:dyDescent="0.2">
      <c r="B10" t="s">
        <v>16</v>
      </c>
      <c r="C10">
        <v>0.46100000000000002</v>
      </c>
      <c r="D10">
        <v>0.79600000000000004</v>
      </c>
      <c r="E10">
        <v>357</v>
      </c>
      <c r="F10">
        <v>3192</v>
      </c>
      <c r="G10">
        <v>1049</v>
      </c>
      <c r="H10">
        <v>784</v>
      </c>
      <c r="I10">
        <v>195</v>
      </c>
      <c r="J10">
        <v>106</v>
      </c>
      <c r="K10">
        <v>417</v>
      </c>
      <c r="M10" t="s">
        <v>18</v>
      </c>
      <c r="N10">
        <v>0.46300000000000002</v>
      </c>
      <c r="O10">
        <v>0.73699999999999999</v>
      </c>
      <c r="P10">
        <v>415</v>
      </c>
      <c r="Q10">
        <v>3286</v>
      </c>
      <c r="R10">
        <v>1338</v>
      </c>
      <c r="S10">
        <v>639</v>
      </c>
      <c r="T10">
        <v>226</v>
      </c>
      <c r="U10">
        <v>197</v>
      </c>
      <c r="V10">
        <v>369</v>
      </c>
      <c r="X10" t="s">
        <v>18</v>
      </c>
      <c r="Y10">
        <f>214/479</f>
        <v>0.44676409185803756</v>
      </c>
      <c r="Z10">
        <f>67/91</f>
        <v>0.73626373626373631</v>
      </c>
      <c r="AA10">
        <v>72</v>
      </c>
      <c r="AB10">
        <v>567</v>
      </c>
      <c r="AC10">
        <v>207</v>
      </c>
      <c r="AD10">
        <v>108</v>
      </c>
      <c r="AE10">
        <v>37</v>
      </c>
      <c r="AF10">
        <v>36</v>
      </c>
      <c r="AG10">
        <v>71</v>
      </c>
      <c r="AI10" s="15" t="s">
        <v>18</v>
      </c>
      <c r="AJ10" s="4" t="s">
        <v>28</v>
      </c>
      <c r="AK10" s="4" t="s">
        <v>28</v>
      </c>
      <c r="AL10" s="4" t="s">
        <v>31</v>
      </c>
      <c r="AM10" s="13" t="s">
        <v>35</v>
      </c>
      <c r="AN10" s="4" t="s">
        <v>28</v>
      </c>
      <c r="AO10" s="3" t="s">
        <v>29</v>
      </c>
      <c r="AP10" s="4" t="s">
        <v>28</v>
      </c>
      <c r="AQ10" s="2" t="s">
        <v>23</v>
      </c>
      <c r="AR10" s="4" t="s">
        <v>28</v>
      </c>
      <c r="AS10" s="20" t="s">
        <v>31</v>
      </c>
    </row>
    <row r="11" spans="2:46" ht="30" customHeight="1" x14ac:dyDescent="0.2">
      <c r="B11" t="s">
        <v>14</v>
      </c>
      <c r="C11">
        <v>0.45800000000000002</v>
      </c>
      <c r="D11">
        <v>0.80900000000000005</v>
      </c>
      <c r="E11">
        <v>437</v>
      </c>
      <c r="F11">
        <v>3563</v>
      </c>
      <c r="G11">
        <v>1355</v>
      </c>
      <c r="H11">
        <v>816</v>
      </c>
      <c r="I11">
        <v>225</v>
      </c>
      <c r="J11">
        <v>133</v>
      </c>
      <c r="K11">
        <v>409</v>
      </c>
      <c r="M11" t="s">
        <v>14</v>
      </c>
      <c r="N11">
        <v>0.45900000000000002</v>
      </c>
      <c r="O11">
        <v>0.80900000000000005</v>
      </c>
      <c r="P11">
        <v>529</v>
      </c>
      <c r="Q11">
        <v>4302</v>
      </c>
      <c r="R11">
        <v>1632</v>
      </c>
      <c r="S11">
        <v>977</v>
      </c>
      <c r="T11">
        <v>272</v>
      </c>
      <c r="U11">
        <v>167</v>
      </c>
      <c r="V11">
        <v>490</v>
      </c>
      <c r="X11" t="s">
        <v>14</v>
      </c>
      <c r="Y11">
        <f>247/532</f>
        <v>0.4642857142857143</v>
      </c>
      <c r="Z11">
        <f>153/189</f>
        <v>0.80952380952380953</v>
      </c>
      <c r="AA11">
        <v>92</v>
      </c>
      <c r="AB11">
        <v>739</v>
      </c>
      <c r="AC11">
        <v>277</v>
      </c>
      <c r="AD11">
        <v>161</v>
      </c>
      <c r="AE11">
        <v>47</v>
      </c>
      <c r="AF11">
        <v>34</v>
      </c>
      <c r="AG11">
        <v>81</v>
      </c>
      <c r="AI11" s="15" t="s">
        <v>14</v>
      </c>
      <c r="AJ11" s="3" t="s">
        <v>29</v>
      </c>
      <c r="AK11" s="3" t="s">
        <v>24</v>
      </c>
      <c r="AL11" s="4" t="s">
        <v>30</v>
      </c>
      <c r="AM11" s="3" t="s">
        <v>27</v>
      </c>
      <c r="AN11" s="3" t="s">
        <v>44</v>
      </c>
      <c r="AO11" s="3" t="s">
        <v>25</v>
      </c>
      <c r="AP11" s="4" t="s">
        <v>30</v>
      </c>
      <c r="AQ11" s="3" t="s">
        <v>24</v>
      </c>
      <c r="AR11" s="2" t="s">
        <v>23</v>
      </c>
      <c r="AS11" s="20" t="s">
        <v>28</v>
      </c>
    </row>
    <row r="12" spans="2:46" ht="30" customHeight="1" thickBot="1" x14ac:dyDescent="0.25">
      <c r="B12" t="s">
        <v>17</v>
      </c>
      <c r="C12">
        <v>0.45400000000000001</v>
      </c>
      <c r="D12">
        <v>0.82099999999999995</v>
      </c>
      <c r="E12">
        <v>414</v>
      </c>
      <c r="F12">
        <v>3766</v>
      </c>
      <c r="G12">
        <v>1326</v>
      </c>
      <c r="H12">
        <v>866</v>
      </c>
      <c r="I12">
        <v>217</v>
      </c>
      <c r="J12">
        <v>163</v>
      </c>
      <c r="K12">
        <v>514</v>
      </c>
      <c r="M12" t="s">
        <v>17</v>
      </c>
      <c r="N12">
        <v>0.45800000000000002</v>
      </c>
      <c r="O12">
        <v>0.82</v>
      </c>
      <c r="P12">
        <v>495</v>
      </c>
      <c r="Q12">
        <v>4578</v>
      </c>
      <c r="R12">
        <v>1622</v>
      </c>
      <c r="S12">
        <v>1038</v>
      </c>
      <c r="T12">
        <v>265</v>
      </c>
      <c r="U12">
        <v>218</v>
      </c>
      <c r="V12">
        <v>611</v>
      </c>
      <c r="X12" t="s">
        <v>17</v>
      </c>
      <c r="Y12">
        <f>291/612</f>
        <v>0.47549019607843135</v>
      </c>
      <c r="Z12">
        <f>149/183</f>
        <v>0.81420765027322406</v>
      </c>
      <c r="AA12">
        <v>81</v>
      </c>
      <c r="AB12">
        <v>812</v>
      </c>
      <c r="AC12">
        <v>296</v>
      </c>
      <c r="AD12">
        <v>172</v>
      </c>
      <c r="AE12">
        <v>48</v>
      </c>
      <c r="AF12">
        <v>55</v>
      </c>
      <c r="AG12">
        <v>97</v>
      </c>
      <c r="AI12" s="16" t="s">
        <v>17</v>
      </c>
      <c r="AJ12" s="11" t="s">
        <v>26</v>
      </c>
      <c r="AK12" s="18" t="s">
        <v>29</v>
      </c>
      <c r="AL12" s="11" t="s">
        <v>30</v>
      </c>
      <c r="AM12" s="18" t="s">
        <v>27</v>
      </c>
      <c r="AN12" s="18" t="s">
        <v>24</v>
      </c>
      <c r="AO12" s="18" t="s">
        <v>25</v>
      </c>
      <c r="AP12" s="17" t="s">
        <v>35</v>
      </c>
      <c r="AQ12" s="18" t="s">
        <v>27</v>
      </c>
      <c r="AR12" s="18" t="s">
        <v>24</v>
      </c>
      <c r="AS12" s="12" t="s">
        <v>23</v>
      </c>
    </row>
    <row r="14" spans="2:46" x14ac:dyDescent="0.2">
      <c r="AT14" s="1"/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B9114-7AEB-5A48-9CC3-440B23224697}">
  <sheetPr codeName="Sheet7"/>
  <dimension ref="B1:AT14"/>
  <sheetViews>
    <sheetView topLeftCell="H1" zoomScale="68" zoomScaleNormal="100" workbookViewId="0">
      <selection activeCell="M2" sqref="M2:V12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46</v>
      </c>
      <c r="AJ2" s="6" t="s">
        <v>15</v>
      </c>
      <c r="AK2" s="6" t="s">
        <v>12</v>
      </c>
      <c r="AL2" s="6" t="s">
        <v>19</v>
      </c>
      <c r="AM2" s="6" t="s">
        <v>11</v>
      </c>
      <c r="AN2" s="6" t="s">
        <v>10</v>
      </c>
      <c r="AO2" s="6" t="s">
        <v>13</v>
      </c>
      <c r="AP2" s="6" t="s">
        <v>16</v>
      </c>
      <c r="AQ2" s="6" t="s">
        <v>14</v>
      </c>
      <c r="AR2" s="6" t="s">
        <v>17</v>
      </c>
      <c r="AS2" s="7" t="s">
        <v>18</v>
      </c>
      <c r="AT2" s="1"/>
    </row>
    <row r="3" spans="2:46" ht="30" customHeight="1" x14ac:dyDescent="0.2">
      <c r="B3" t="s">
        <v>15</v>
      </c>
      <c r="C3">
        <v>0.498</v>
      </c>
      <c r="D3">
        <v>0.78700000000000003</v>
      </c>
      <c r="E3">
        <v>431</v>
      </c>
      <c r="F3">
        <v>4225</v>
      </c>
      <c r="G3">
        <v>1593</v>
      </c>
      <c r="H3">
        <v>895</v>
      </c>
      <c r="I3">
        <v>251</v>
      </c>
      <c r="J3">
        <v>141</v>
      </c>
      <c r="K3">
        <v>465</v>
      </c>
      <c r="M3" t="s">
        <v>15</v>
      </c>
      <c r="N3">
        <v>0.495</v>
      </c>
      <c r="O3">
        <v>0.78900000000000003</v>
      </c>
      <c r="P3">
        <v>551</v>
      </c>
      <c r="Q3">
        <v>5323</v>
      </c>
      <c r="R3">
        <v>2050</v>
      </c>
      <c r="S3">
        <v>1127</v>
      </c>
      <c r="T3">
        <v>318</v>
      </c>
      <c r="U3">
        <v>191</v>
      </c>
      <c r="V3">
        <v>601</v>
      </c>
      <c r="X3" t="s">
        <v>15</v>
      </c>
      <c r="Y3">
        <f>400/825</f>
        <v>0.48484848484848486</v>
      </c>
      <c r="Z3">
        <f>178/224</f>
        <v>0.7946428571428571</v>
      </c>
      <c r="AA3">
        <v>120</v>
      </c>
      <c r="AB3">
        <v>1098</v>
      </c>
      <c r="AC3">
        <v>457</v>
      </c>
      <c r="AD3">
        <v>232</v>
      </c>
      <c r="AE3">
        <v>67</v>
      </c>
      <c r="AF3">
        <v>50</v>
      </c>
      <c r="AG3">
        <v>136</v>
      </c>
      <c r="AI3" s="15" t="s">
        <v>15</v>
      </c>
      <c r="AJ3" s="2" t="s">
        <v>23</v>
      </c>
      <c r="AK3" s="3" t="s">
        <v>29</v>
      </c>
      <c r="AL3" s="4" t="s">
        <v>26</v>
      </c>
      <c r="AM3" s="4" t="s">
        <v>26</v>
      </c>
      <c r="AN3" s="3" t="s">
        <v>25</v>
      </c>
      <c r="AO3" s="3" t="s">
        <v>24</v>
      </c>
      <c r="AP3" s="4" t="s">
        <v>26</v>
      </c>
      <c r="AQ3" s="4" t="s">
        <v>26</v>
      </c>
      <c r="AR3" s="4" t="s">
        <v>30</v>
      </c>
      <c r="AS3" s="9" t="s">
        <v>24</v>
      </c>
    </row>
    <row r="4" spans="2:46" ht="30" customHeight="1" x14ac:dyDescent="0.2">
      <c r="B4" t="s">
        <v>12</v>
      </c>
      <c r="C4">
        <v>0.48099999999999998</v>
      </c>
      <c r="D4">
        <v>0.76900000000000002</v>
      </c>
      <c r="E4">
        <v>454</v>
      </c>
      <c r="F4">
        <v>4281</v>
      </c>
      <c r="G4">
        <v>1464</v>
      </c>
      <c r="H4">
        <v>1034</v>
      </c>
      <c r="I4">
        <v>215</v>
      </c>
      <c r="J4">
        <v>127</v>
      </c>
      <c r="K4">
        <v>545</v>
      </c>
      <c r="M4" t="s">
        <v>12</v>
      </c>
      <c r="N4">
        <v>0.48299999999999998</v>
      </c>
      <c r="O4">
        <v>0.76600000000000001</v>
      </c>
      <c r="P4">
        <v>573</v>
      </c>
      <c r="Q4">
        <v>5456</v>
      </c>
      <c r="R4">
        <v>1850</v>
      </c>
      <c r="S4">
        <v>1304</v>
      </c>
      <c r="T4">
        <v>288</v>
      </c>
      <c r="U4">
        <v>160</v>
      </c>
      <c r="V4">
        <v>697</v>
      </c>
      <c r="X4" t="s">
        <v>12</v>
      </c>
      <c r="Y4">
        <f>431/877</f>
        <v>0.49144811858608894</v>
      </c>
      <c r="Z4">
        <f>194/258</f>
        <v>0.75193798449612403</v>
      </c>
      <c r="AA4">
        <v>119</v>
      </c>
      <c r="AB4">
        <v>1175</v>
      </c>
      <c r="AC4">
        <v>386</v>
      </c>
      <c r="AD4">
        <v>270</v>
      </c>
      <c r="AE4">
        <v>73</v>
      </c>
      <c r="AF4">
        <v>33</v>
      </c>
      <c r="AG4">
        <v>152</v>
      </c>
      <c r="AI4" s="15" t="s">
        <v>12</v>
      </c>
      <c r="AJ4" s="4" t="s">
        <v>30</v>
      </c>
      <c r="AK4" s="2" t="s">
        <v>23</v>
      </c>
      <c r="AL4" s="4" t="s">
        <v>30</v>
      </c>
      <c r="AM4" s="4" t="s">
        <v>28</v>
      </c>
      <c r="AN4" s="4" t="s">
        <v>28</v>
      </c>
      <c r="AO4" s="3" t="s">
        <v>25</v>
      </c>
      <c r="AP4" s="4" t="s">
        <v>26</v>
      </c>
      <c r="AQ4" s="3" t="s">
        <v>29</v>
      </c>
      <c r="AR4" s="3" t="s">
        <v>25</v>
      </c>
      <c r="AS4" s="9" t="s">
        <v>29</v>
      </c>
    </row>
    <row r="5" spans="2:46" ht="30" customHeight="1" x14ac:dyDescent="0.2">
      <c r="B5" t="s">
        <v>19</v>
      </c>
      <c r="C5">
        <v>0.48</v>
      </c>
      <c r="D5">
        <v>0.84099999999999997</v>
      </c>
      <c r="E5">
        <v>389</v>
      </c>
      <c r="F5">
        <v>3943</v>
      </c>
      <c r="G5">
        <v>1283</v>
      </c>
      <c r="H5">
        <v>1111</v>
      </c>
      <c r="I5">
        <v>255</v>
      </c>
      <c r="J5">
        <v>141</v>
      </c>
      <c r="K5">
        <v>427</v>
      </c>
      <c r="M5" t="s">
        <v>19</v>
      </c>
      <c r="N5">
        <v>0.48199999999999998</v>
      </c>
      <c r="O5">
        <v>0.83799999999999997</v>
      </c>
      <c r="P5">
        <v>516</v>
      </c>
      <c r="Q5">
        <v>5127</v>
      </c>
      <c r="R5">
        <v>1638</v>
      </c>
      <c r="S5">
        <v>1375</v>
      </c>
      <c r="T5">
        <v>320</v>
      </c>
      <c r="U5">
        <v>178</v>
      </c>
      <c r="V5">
        <v>551</v>
      </c>
      <c r="X5" t="s">
        <v>19</v>
      </c>
      <c r="Y5">
        <f>426/874</f>
        <v>0.48741418764302058</v>
      </c>
      <c r="Z5">
        <f>205/248</f>
        <v>0.82661290322580649</v>
      </c>
      <c r="AA5">
        <v>127</v>
      </c>
      <c r="AB5">
        <v>1184</v>
      </c>
      <c r="AC5">
        <v>355</v>
      </c>
      <c r="AD5">
        <v>264</v>
      </c>
      <c r="AE5">
        <v>65</v>
      </c>
      <c r="AF5">
        <v>37</v>
      </c>
      <c r="AG5">
        <v>124</v>
      </c>
      <c r="AI5" s="15" t="s">
        <v>19</v>
      </c>
      <c r="AJ5" s="3" t="s">
        <v>25</v>
      </c>
      <c r="AK5" s="3" t="s">
        <v>29</v>
      </c>
      <c r="AL5" s="2" t="s">
        <v>23</v>
      </c>
      <c r="AM5" s="4" t="s">
        <v>26</v>
      </c>
      <c r="AN5" s="3" t="s">
        <v>29</v>
      </c>
      <c r="AO5" s="3" t="s">
        <v>33</v>
      </c>
      <c r="AP5" s="4" t="s">
        <v>30</v>
      </c>
      <c r="AQ5" s="3" t="s">
        <v>24</v>
      </c>
      <c r="AR5" s="3" t="s">
        <v>25</v>
      </c>
      <c r="AS5" s="9" t="s">
        <v>25</v>
      </c>
    </row>
    <row r="6" spans="2:46" ht="30" customHeight="1" x14ac:dyDescent="0.2">
      <c r="B6" t="s">
        <v>10</v>
      </c>
      <c r="C6">
        <v>0.47299999999999998</v>
      </c>
      <c r="D6">
        <v>0.82399999999999995</v>
      </c>
      <c r="E6">
        <v>445</v>
      </c>
      <c r="F6">
        <v>4232</v>
      </c>
      <c r="G6">
        <v>1591</v>
      </c>
      <c r="H6">
        <v>956</v>
      </c>
      <c r="I6">
        <v>308</v>
      </c>
      <c r="J6">
        <v>201</v>
      </c>
      <c r="K6">
        <v>577</v>
      </c>
      <c r="M6" t="s">
        <v>11</v>
      </c>
      <c r="N6">
        <v>0.47599999999999998</v>
      </c>
      <c r="O6">
        <v>0.74199999999999999</v>
      </c>
      <c r="P6">
        <v>581</v>
      </c>
      <c r="Q6">
        <v>5930</v>
      </c>
      <c r="R6">
        <v>2060</v>
      </c>
      <c r="S6">
        <v>1305</v>
      </c>
      <c r="T6">
        <v>349</v>
      </c>
      <c r="U6">
        <v>238</v>
      </c>
      <c r="V6">
        <v>720</v>
      </c>
      <c r="X6" t="s">
        <v>11</v>
      </c>
      <c r="Y6">
        <f>470/955</f>
        <v>0.49214659685863876</v>
      </c>
      <c r="Z6">
        <f>149/211</f>
        <v>0.70616113744075826</v>
      </c>
      <c r="AA6">
        <v>122</v>
      </c>
      <c r="AB6">
        <v>1211</v>
      </c>
      <c r="AC6">
        <v>448</v>
      </c>
      <c r="AD6">
        <v>300</v>
      </c>
      <c r="AE6">
        <v>79</v>
      </c>
      <c r="AF6">
        <v>70</v>
      </c>
      <c r="AG6">
        <v>154</v>
      </c>
      <c r="AI6" s="15" t="s">
        <v>11</v>
      </c>
      <c r="AJ6" s="3" t="s">
        <v>25</v>
      </c>
      <c r="AK6" s="3" t="s">
        <v>24</v>
      </c>
      <c r="AL6" s="3" t="s">
        <v>25</v>
      </c>
      <c r="AM6" s="2" t="s">
        <v>23</v>
      </c>
      <c r="AN6" s="3" t="s">
        <v>29</v>
      </c>
      <c r="AO6" s="3" t="s">
        <v>24</v>
      </c>
      <c r="AP6" s="3" t="s">
        <v>29</v>
      </c>
      <c r="AQ6" s="3" t="s">
        <v>29</v>
      </c>
      <c r="AR6" s="3" t="s">
        <v>24</v>
      </c>
      <c r="AS6" s="9" t="s">
        <v>25</v>
      </c>
    </row>
    <row r="7" spans="2:46" ht="30" customHeight="1" x14ac:dyDescent="0.2">
      <c r="B7" t="s">
        <v>11</v>
      </c>
      <c r="C7">
        <v>0.47199999999999998</v>
      </c>
      <c r="D7">
        <v>0.75</v>
      </c>
      <c r="E7">
        <v>459</v>
      </c>
      <c r="F7">
        <v>4719</v>
      </c>
      <c r="G7">
        <v>1612</v>
      </c>
      <c r="H7">
        <v>1005</v>
      </c>
      <c r="I7">
        <v>270</v>
      </c>
      <c r="J7">
        <v>168</v>
      </c>
      <c r="K7">
        <v>566</v>
      </c>
      <c r="M7" t="s">
        <v>10</v>
      </c>
      <c r="N7">
        <v>0.47399999999999998</v>
      </c>
      <c r="O7">
        <v>0.81499999999999995</v>
      </c>
      <c r="P7">
        <v>570</v>
      </c>
      <c r="Q7">
        <v>5329</v>
      </c>
      <c r="R7">
        <v>2015</v>
      </c>
      <c r="S7">
        <v>1235</v>
      </c>
      <c r="T7">
        <v>404</v>
      </c>
      <c r="U7">
        <v>242</v>
      </c>
      <c r="V7">
        <v>723</v>
      </c>
      <c r="X7" t="s">
        <v>10</v>
      </c>
      <c r="Y7">
        <f>399/836</f>
        <v>0.47727272727272729</v>
      </c>
      <c r="Z7">
        <f>174/223</f>
        <v>0.78026905829596416</v>
      </c>
      <c r="AA7">
        <v>125</v>
      </c>
      <c r="AB7">
        <v>1097</v>
      </c>
      <c r="AC7">
        <v>424</v>
      </c>
      <c r="AD7">
        <v>279</v>
      </c>
      <c r="AE7">
        <v>96</v>
      </c>
      <c r="AF7">
        <v>41</v>
      </c>
      <c r="AG7">
        <v>146</v>
      </c>
      <c r="AI7" s="15" t="s">
        <v>10</v>
      </c>
      <c r="AJ7" s="4" t="s">
        <v>26</v>
      </c>
      <c r="AK7" s="3" t="s">
        <v>24</v>
      </c>
      <c r="AL7" s="4" t="s">
        <v>30</v>
      </c>
      <c r="AM7" s="4" t="s">
        <v>30</v>
      </c>
      <c r="AN7" s="2" t="s">
        <v>23</v>
      </c>
      <c r="AO7" s="3" t="s">
        <v>24</v>
      </c>
      <c r="AP7" s="4" t="s">
        <v>28</v>
      </c>
      <c r="AQ7" s="4" t="s">
        <v>30</v>
      </c>
      <c r="AR7" s="3" t="s">
        <v>29</v>
      </c>
      <c r="AS7" s="9" t="s">
        <v>25</v>
      </c>
    </row>
    <row r="8" spans="2:46" ht="30" customHeight="1" x14ac:dyDescent="0.2">
      <c r="B8" t="s">
        <v>13</v>
      </c>
      <c r="C8">
        <v>0.47</v>
      </c>
      <c r="D8">
        <v>0.83899999999999997</v>
      </c>
      <c r="E8">
        <v>387</v>
      </c>
      <c r="F8">
        <v>3606</v>
      </c>
      <c r="G8">
        <v>1121</v>
      </c>
      <c r="H8">
        <v>843</v>
      </c>
      <c r="I8">
        <v>188</v>
      </c>
      <c r="J8">
        <v>117</v>
      </c>
      <c r="K8">
        <v>440</v>
      </c>
      <c r="M8" t="s">
        <v>13</v>
      </c>
      <c r="N8">
        <v>0.46500000000000002</v>
      </c>
      <c r="O8">
        <v>0.84199999999999997</v>
      </c>
      <c r="P8">
        <v>473</v>
      </c>
      <c r="Q8">
        <v>4443</v>
      </c>
      <c r="R8">
        <v>1425</v>
      </c>
      <c r="S8">
        <v>1068</v>
      </c>
      <c r="T8">
        <v>248</v>
      </c>
      <c r="U8">
        <v>154</v>
      </c>
      <c r="V8">
        <v>543</v>
      </c>
      <c r="X8" t="s">
        <v>13</v>
      </c>
      <c r="Y8">
        <f>294/660</f>
        <v>0.44545454545454544</v>
      </c>
      <c r="Z8">
        <f>163/191</f>
        <v>0.8534031413612565</v>
      </c>
      <c r="AA8">
        <v>86</v>
      </c>
      <c r="AB8">
        <v>837</v>
      </c>
      <c r="AC8">
        <v>304</v>
      </c>
      <c r="AD8">
        <v>225</v>
      </c>
      <c r="AE8">
        <v>60</v>
      </c>
      <c r="AF8">
        <v>37</v>
      </c>
      <c r="AG8">
        <v>103</v>
      </c>
      <c r="AI8" s="15" t="s">
        <v>13</v>
      </c>
      <c r="AJ8" s="4" t="s">
        <v>28</v>
      </c>
      <c r="AK8" s="4" t="s">
        <v>26</v>
      </c>
      <c r="AL8" s="4" t="s">
        <v>36</v>
      </c>
      <c r="AM8" s="4" t="s">
        <v>28</v>
      </c>
      <c r="AN8" s="4" t="s">
        <v>28</v>
      </c>
      <c r="AO8" s="2" t="s">
        <v>23</v>
      </c>
      <c r="AP8" s="4" t="s">
        <v>28</v>
      </c>
      <c r="AQ8" s="4" t="s">
        <v>26</v>
      </c>
      <c r="AR8" s="4" t="s">
        <v>26</v>
      </c>
      <c r="AS8" s="20" t="s">
        <v>26</v>
      </c>
    </row>
    <row r="9" spans="2:46" ht="30" customHeight="1" x14ac:dyDescent="0.2">
      <c r="B9" t="s">
        <v>16</v>
      </c>
      <c r="C9">
        <v>0.46400000000000002</v>
      </c>
      <c r="D9">
        <v>0.79900000000000004</v>
      </c>
      <c r="E9">
        <v>436</v>
      </c>
      <c r="F9">
        <v>3967</v>
      </c>
      <c r="G9">
        <v>1283</v>
      </c>
      <c r="H9">
        <v>1001</v>
      </c>
      <c r="I9">
        <v>245</v>
      </c>
      <c r="J9">
        <v>136</v>
      </c>
      <c r="K9">
        <v>514</v>
      </c>
      <c r="M9" t="s">
        <v>16</v>
      </c>
      <c r="N9">
        <v>0.46400000000000002</v>
      </c>
      <c r="O9">
        <v>0.80400000000000005</v>
      </c>
      <c r="P9">
        <v>577</v>
      </c>
      <c r="Q9">
        <v>5134</v>
      </c>
      <c r="R9">
        <v>1667</v>
      </c>
      <c r="S9">
        <v>1299</v>
      </c>
      <c r="T9">
        <v>349</v>
      </c>
      <c r="U9">
        <v>187</v>
      </c>
      <c r="V9">
        <v>657</v>
      </c>
      <c r="X9" t="s">
        <v>16</v>
      </c>
      <c r="Y9">
        <f>421/908</f>
        <v>0.46365638766519823</v>
      </c>
      <c r="Z9">
        <f>184/224</f>
        <v>0.8214285714285714</v>
      </c>
      <c r="AA9">
        <v>141</v>
      </c>
      <c r="AB9">
        <v>1167</v>
      </c>
      <c r="AC9">
        <v>384</v>
      </c>
      <c r="AD9">
        <v>298</v>
      </c>
      <c r="AE9">
        <v>104</v>
      </c>
      <c r="AF9">
        <v>51</v>
      </c>
      <c r="AG9">
        <v>143</v>
      </c>
      <c r="AI9" s="15" t="s">
        <v>16</v>
      </c>
      <c r="AJ9" s="3" t="s">
        <v>25</v>
      </c>
      <c r="AK9" s="3" t="s">
        <v>25</v>
      </c>
      <c r="AL9" s="3" t="s">
        <v>29</v>
      </c>
      <c r="AM9" s="4" t="s">
        <v>30</v>
      </c>
      <c r="AN9" s="3" t="s">
        <v>24</v>
      </c>
      <c r="AO9" s="3" t="s">
        <v>24</v>
      </c>
      <c r="AP9" s="2" t="s">
        <v>23</v>
      </c>
      <c r="AQ9" s="3" t="s">
        <v>25</v>
      </c>
      <c r="AR9" s="3" t="s">
        <v>25</v>
      </c>
      <c r="AS9" s="9" t="s">
        <v>27</v>
      </c>
    </row>
    <row r="10" spans="2:46" ht="30" customHeight="1" x14ac:dyDescent="0.2">
      <c r="B10" t="s">
        <v>18</v>
      </c>
      <c r="C10">
        <v>0.46300000000000002</v>
      </c>
      <c r="D10">
        <v>0.73699999999999999</v>
      </c>
      <c r="E10">
        <v>415</v>
      </c>
      <c r="F10">
        <v>3286</v>
      </c>
      <c r="G10">
        <v>1338</v>
      </c>
      <c r="H10">
        <v>639</v>
      </c>
      <c r="I10">
        <v>226</v>
      </c>
      <c r="J10">
        <v>197</v>
      </c>
      <c r="K10">
        <v>369</v>
      </c>
      <c r="M10" t="s">
        <v>14</v>
      </c>
      <c r="N10">
        <v>0.45800000000000002</v>
      </c>
      <c r="O10">
        <v>0.81</v>
      </c>
      <c r="P10">
        <v>691</v>
      </c>
      <c r="Q10">
        <v>5449</v>
      </c>
      <c r="R10">
        <v>2093</v>
      </c>
      <c r="S10">
        <v>1240</v>
      </c>
      <c r="T10">
        <v>334</v>
      </c>
      <c r="U10">
        <v>198</v>
      </c>
      <c r="V10">
        <v>622</v>
      </c>
      <c r="X10" t="s">
        <v>14</v>
      </c>
      <c r="Y10">
        <f>413/907</f>
        <v>0.45534729878721059</v>
      </c>
      <c r="Z10">
        <f>159/196</f>
        <v>0.81122448979591832</v>
      </c>
      <c r="AA10">
        <v>162</v>
      </c>
      <c r="AB10">
        <v>1147</v>
      </c>
      <c r="AC10">
        <v>461</v>
      </c>
      <c r="AD10">
        <v>263</v>
      </c>
      <c r="AE10">
        <v>62</v>
      </c>
      <c r="AF10">
        <v>31</v>
      </c>
      <c r="AG10">
        <v>132</v>
      </c>
      <c r="AI10" s="15" t="s">
        <v>14</v>
      </c>
      <c r="AJ10" s="3" t="s">
        <v>25</v>
      </c>
      <c r="AK10" s="4" t="s">
        <v>30</v>
      </c>
      <c r="AL10" s="4" t="s">
        <v>28</v>
      </c>
      <c r="AM10" s="4" t="s">
        <v>30</v>
      </c>
      <c r="AN10" s="3" t="s">
        <v>29</v>
      </c>
      <c r="AO10" s="3" t="s">
        <v>25</v>
      </c>
      <c r="AP10" s="4" t="s">
        <v>26</v>
      </c>
      <c r="AQ10" s="2" t="s">
        <v>23</v>
      </c>
      <c r="AR10" s="3" t="s">
        <v>25</v>
      </c>
      <c r="AS10" s="9" t="s">
        <v>24</v>
      </c>
    </row>
    <row r="11" spans="2:46" ht="30" customHeight="1" x14ac:dyDescent="0.2">
      <c r="B11" t="s">
        <v>14</v>
      </c>
      <c r="C11">
        <v>0.45900000000000002</v>
      </c>
      <c r="D11">
        <v>0.80900000000000005</v>
      </c>
      <c r="E11">
        <v>529</v>
      </c>
      <c r="F11">
        <v>4302</v>
      </c>
      <c r="G11">
        <v>1632</v>
      </c>
      <c r="H11">
        <v>977</v>
      </c>
      <c r="I11">
        <v>272</v>
      </c>
      <c r="J11">
        <v>167</v>
      </c>
      <c r="K11">
        <v>490</v>
      </c>
      <c r="M11" t="s">
        <v>17</v>
      </c>
      <c r="N11">
        <v>0.45700000000000002</v>
      </c>
      <c r="O11">
        <v>0.82499999999999996</v>
      </c>
      <c r="P11">
        <v>637</v>
      </c>
      <c r="Q11">
        <v>5734</v>
      </c>
      <c r="R11">
        <v>1975</v>
      </c>
      <c r="S11">
        <v>1283</v>
      </c>
      <c r="T11">
        <v>323</v>
      </c>
      <c r="U11">
        <v>275</v>
      </c>
      <c r="V11">
        <v>768</v>
      </c>
      <c r="X11" t="s">
        <v>17</v>
      </c>
      <c r="Y11">
        <f>407/896</f>
        <v>0.45424107142857145</v>
      </c>
      <c r="Z11">
        <f>200/236</f>
        <v>0.84745762711864403</v>
      </c>
      <c r="AA11">
        <v>142</v>
      </c>
      <c r="AB11">
        <v>1156</v>
      </c>
      <c r="AC11">
        <v>353</v>
      </c>
      <c r="AD11">
        <v>245</v>
      </c>
      <c r="AE11">
        <v>58</v>
      </c>
      <c r="AF11">
        <v>57</v>
      </c>
      <c r="AG11">
        <v>157</v>
      </c>
      <c r="AI11" s="15" t="s">
        <v>17</v>
      </c>
      <c r="AJ11" s="3" t="s">
        <v>29</v>
      </c>
      <c r="AK11" s="4" t="s">
        <v>26</v>
      </c>
      <c r="AL11" s="4" t="s">
        <v>26</v>
      </c>
      <c r="AM11" s="4" t="s">
        <v>28</v>
      </c>
      <c r="AN11" s="4" t="s">
        <v>30</v>
      </c>
      <c r="AO11" s="3" t="s">
        <v>25</v>
      </c>
      <c r="AP11" s="4" t="s">
        <v>26</v>
      </c>
      <c r="AQ11" s="4" t="s">
        <v>26</v>
      </c>
      <c r="AR11" s="2" t="s">
        <v>23</v>
      </c>
      <c r="AS11" s="9" t="s">
        <v>25</v>
      </c>
    </row>
    <row r="12" spans="2:46" ht="30" customHeight="1" thickBot="1" x14ac:dyDescent="0.25">
      <c r="B12" t="s">
        <v>17</v>
      </c>
      <c r="C12">
        <v>0.45800000000000002</v>
      </c>
      <c r="D12">
        <v>0.82</v>
      </c>
      <c r="E12">
        <v>495</v>
      </c>
      <c r="F12">
        <v>4578</v>
      </c>
      <c r="G12">
        <v>1622</v>
      </c>
      <c r="H12">
        <v>1038</v>
      </c>
      <c r="I12">
        <v>265</v>
      </c>
      <c r="J12">
        <v>218</v>
      </c>
      <c r="K12">
        <v>611</v>
      </c>
      <c r="M12" t="s">
        <v>18</v>
      </c>
      <c r="N12">
        <v>0.45700000000000002</v>
      </c>
      <c r="O12">
        <v>0.74099999999999999</v>
      </c>
      <c r="P12">
        <v>525</v>
      </c>
      <c r="Q12">
        <v>4232</v>
      </c>
      <c r="R12">
        <v>1720</v>
      </c>
      <c r="S12">
        <v>882</v>
      </c>
      <c r="T12">
        <v>324</v>
      </c>
      <c r="U12">
        <v>245</v>
      </c>
      <c r="V12">
        <v>509</v>
      </c>
      <c r="X12" t="s">
        <v>18</v>
      </c>
      <c r="Y12">
        <f>357/816</f>
        <v>0.4375</v>
      </c>
      <c r="Z12">
        <f>122/161</f>
        <v>0.75776397515527949</v>
      </c>
      <c r="AA12">
        <v>110</v>
      </c>
      <c r="AB12">
        <v>946</v>
      </c>
      <c r="AC12">
        <v>382</v>
      </c>
      <c r="AD12">
        <v>243</v>
      </c>
      <c r="AE12">
        <v>98</v>
      </c>
      <c r="AF12">
        <v>48</v>
      </c>
      <c r="AG12">
        <v>140</v>
      </c>
      <c r="AI12" s="16" t="s">
        <v>18</v>
      </c>
      <c r="AJ12" s="11" t="s">
        <v>28</v>
      </c>
      <c r="AK12" s="11" t="s">
        <v>30</v>
      </c>
      <c r="AL12" s="11" t="s">
        <v>26</v>
      </c>
      <c r="AM12" s="11" t="s">
        <v>26</v>
      </c>
      <c r="AN12" s="11" t="s">
        <v>26</v>
      </c>
      <c r="AO12" s="18" t="s">
        <v>25</v>
      </c>
      <c r="AP12" s="11" t="s">
        <v>31</v>
      </c>
      <c r="AQ12" s="11" t="s">
        <v>28</v>
      </c>
      <c r="AR12" s="11" t="s">
        <v>26</v>
      </c>
      <c r="AS12" s="12" t="s">
        <v>23</v>
      </c>
    </row>
    <row r="14" spans="2:46" x14ac:dyDescent="0.2">
      <c r="AT14" s="1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C514E2-899C-E649-B3C4-0D90F5312AC1}">
  <sheetPr codeName="Sheet8"/>
  <dimension ref="B1:AT14"/>
  <sheetViews>
    <sheetView topLeftCell="G1" zoomScaleNormal="100" workbookViewId="0">
      <selection activeCell="M2" sqref="M2:V12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/>
      <c r="AJ2" s="6"/>
      <c r="AK2" s="6"/>
      <c r="AL2" s="6"/>
      <c r="AM2" s="6"/>
      <c r="AN2" s="6"/>
      <c r="AO2" s="6"/>
      <c r="AP2" s="6"/>
      <c r="AQ2" s="6"/>
      <c r="AR2" s="6"/>
      <c r="AS2" s="7"/>
      <c r="AT2" s="1"/>
    </row>
    <row r="3" spans="2:46" ht="30" customHeight="1" x14ac:dyDescent="0.2">
      <c r="B3" t="s">
        <v>15</v>
      </c>
      <c r="C3">
        <v>0.495</v>
      </c>
      <c r="D3">
        <v>0.78900000000000003</v>
      </c>
      <c r="E3">
        <v>551</v>
      </c>
      <c r="F3">
        <v>5323</v>
      </c>
      <c r="G3">
        <v>2050</v>
      </c>
      <c r="H3">
        <v>1127</v>
      </c>
      <c r="I3">
        <v>318</v>
      </c>
      <c r="J3">
        <v>191</v>
      </c>
      <c r="K3">
        <v>601</v>
      </c>
      <c r="M3" t="s">
        <v>15</v>
      </c>
      <c r="N3">
        <v>0.49</v>
      </c>
      <c r="O3">
        <v>0.78900000000000003</v>
      </c>
      <c r="P3">
        <v>679</v>
      </c>
      <c r="Q3">
        <v>6402</v>
      </c>
      <c r="R3">
        <v>2539</v>
      </c>
      <c r="S3">
        <v>1331</v>
      </c>
      <c r="T3">
        <v>379</v>
      </c>
      <c r="U3">
        <v>244</v>
      </c>
      <c r="V3">
        <v>713</v>
      </c>
      <c r="X3" t="s">
        <v>15</v>
      </c>
      <c r="Y3">
        <f>400/825</f>
        <v>0.48484848484848486</v>
      </c>
      <c r="Z3">
        <f>178/224</f>
        <v>0.7946428571428571</v>
      </c>
      <c r="AA3">
        <v>128</v>
      </c>
      <c r="AB3">
        <v>1079</v>
      </c>
      <c r="AC3">
        <v>489</v>
      </c>
      <c r="AD3">
        <v>204</v>
      </c>
      <c r="AE3">
        <v>61</v>
      </c>
      <c r="AF3">
        <v>53</v>
      </c>
      <c r="AG3">
        <v>112</v>
      </c>
      <c r="AI3" s="15"/>
      <c r="AJ3" s="2"/>
      <c r="AK3" s="3"/>
      <c r="AL3" s="4"/>
      <c r="AM3" s="4"/>
      <c r="AN3" s="3"/>
      <c r="AO3" s="3"/>
      <c r="AP3" s="4"/>
      <c r="AQ3" s="4"/>
      <c r="AR3" s="4"/>
      <c r="AS3" s="9"/>
    </row>
    <row r="4" spans="2:46" ht="30" customHeight="1" x14ac:dyDescent="0.2">
      <c r="B4" t="s">
        <v>12</v>
      </c>
      <c r="C4">
        <v>0.48299999999999998</v>
      </c>
      <c r="D4">
        <v>0.76600000000000001</v>
      </c>
      <c r="E4">
        <v>573</v>
      </c>
      <c r="F4">
        <v>5456</v>
      </c>
      <c r="G4">
        <v>1850</v>
      </c>
      <c r="H4">
        <v>1304</v>
      </c>
      <c r="I4">
        <v>288</v>
      </c>
      <c r="J4">
        <v>160</v>
      </c>
      <c r="K4">
        <v>697</v>
      </c>
      <c r="M4" t="s">
        <v>19</v>
      </c>
      <c r="N4">
        <v>0.48599999999999999</v>
      </c>
      <c r="O4">
        <v>0.83599999999999997</v>
      </c>
      <c r="P4">
        <v>610</v>
      </c>
      <c r="Q4">
        <v>5992</v>
      </c>
      <c r="R4">
        <v>1963</v>
      </c>
      <c r="S4">
        <v>1632</v>
      </c>
      <c r="T4">
        <v>378</v>
      </c>
      <c r="U4">
        <v>207</v>
      </c>
      <c r="V4">
        <v>665</v>
      </c>
      <c r="X4" t="s">
        <v>19</v>
      </c>
      <c r="Y4">
        <f>431/877</f>
        <v>0.49144811858608894</v>
      </c>
      <c r="Z4">
        <f>194/258</f>
        <v>0.75193798449612403</v>
      </c>
      <c r="AA4">
        <v>94</v>
      </c>
      <c r="AB4">
        <v>865</v>
      </c>
      <c r="AC4">
        <v>325</v>
      </c>
      <c r="AD4">
        <v>257</v>
      </c>
      <c r="AE4">
        <v>58</v>
      </c>
      <c r="AF4">
        <v>29</v>
      </c>
      <c r="AG4">
        <v>114</v>
      </c>
      <c r="AI4" s="15"/>
      <c r="AJ4" s="4"/>
      <c r="AK4" s="2"/>
      <c r="AL4" s="4"/>
      <c r="AM4" s="4"/>
      <c r="AN4" s="4"/>
      <c r="AO4" s="3"/>
      <c r="AP4" s="4"/>
      <c r="AQ4" s="3"/>
      <c r="AR4" s="3"/>
      <c r="AS4" s="9"/>
    </row>
    <row r="5" spans="2:46" ht="30" customHeight="1" x14ac:dyDescent="0.2">
      <c r="B5" t="s">
        <v>19</v>
      </c>
      <c r="C5">
        <v>0.48199999999999998</v>
      </c>
      <c r="D5">
        <v>0.83799999999999997</v>
      </c>
      <c r="E5">
        <v>516</v>
      </c>
      <c r="F5">
        <v>5127</v>
      </c>
      <c r="G5">
        <v>1638</v>
      </c>
      <c r="H5">
        <v>1375</v>
      </c>
      <c r="I5">
        <v>320</v>
      </c>
      <c r="J5">
        <v>178</v>
      </c>
      <c r="K5">
        <v>551</v>
      </c>
      <c r="M5" t="s">
        <v>12</v>
      </c>
      <c r="N5">
        <v>0.48199999999999998</v>
      </c>
      <c r="O5">
        <v>0.76700000000000002</v>
      </c>
      <c r="P5">
        <v>665</v>
      </c>
      <c r="Q5">
        <v>6488</v>
      </c>
      <c r="R5">
        <v>2177</v>
      </c>
      <c r="S5">
        <v>1532</v>
      </c>
      <c r="T5">
        <v>352</v>
      </c>
      <c r="U5">
        <v>194</v>
      </c>
      <c r="V5">
        <v>808</v>
      </c>
      <c r="X5" t="s">
        <v>12</v>
      </c>
      <c r="Y5">
        <f>426/874</f>
        <v>0.48741418764302058</v>
      </c>
      <c r="Z5">
        <f>205/248</f>
        <v>0.82661290322580649</v>
      </c>
      <c r="AA5">
        <v>92</v>
      </c>
      <c r="AB5">
        <v>1032</v>
      </c>
      <c r="AC5">
        <v>327</v>
      </c>
      <c r="AD5">
        <v>228</v>
      </c>
      <c r="AE5">
        <v>64</v>
      </c>
      <c r="AF5">
        <v>34</v>
      </c>
      <c r="AG5">
        <v>111</v>
      </c>
      <c r="AI5" s="15"/>
      <c r="AJ5" s="3"/>
      <c r="AK5" s="3"/>
      <c r="AL5" s="2"/>
      <c r="AM5" s="4"/>
      <c r="AN5" s="3"/>
      <c r="AO5" s="3"/>
      <c r="AP5" s="4"/>
      <c r="AQ5" s="3"/>
      <c r="AR5" s="3"/>
      <c r="AS5" s="9"/>
    </row>
    <row r="6" spans="2:46" ht="30" customHeight="1" x14ac:dyDescent="0.2">
      <c r="B6" t="s">
        <v>11</v>
      </c>
      <c r="C6">
        <v>0.47599999999999998</v>
      </c>
      <c r="D6">
        <v>0.74199999999999999</v>
      </c>
      <c r="E6">
        <v>581</v>
      </c>
      <c r="F6">
        <v>5930</v>
      </c>
      <c r="G6">
        <v>2060</v>
      </c>
      <c r="H6">
        <v>1305</v>
      </c>
      <c r="I6">
        <v>349</v>
      </c>
      <c r="J6">
        <v>238</v>
      </c>
      <c r="K6">
        <v>720</v>
      </c>
      <c r="M6" t="s">
        <v>11</v>
      </c>
      <c r="N6">
        <v>0.47699999999999998</v>
      </c>
      <c r="O6">
        <v>0.746</v>
      </c>
      <c r="P6">
        <v>690</v>
      </c>
      <c r="Q6">
        <v>7094</v>
      </c>
      <c r="R6">
        <v>2426</v>
      </c>
      <c r="S6">
        <v>1556</v>
      </c>
      <c r="T6">
        <v>420</v>
      </c>
      <c r="U6">
        <v>282</v>
      </c>
      <c r="V6">
        <v>864</v>
      </c>
      <c r="X6" t="s">
        <v>11</v>
      </c>
      <c r="Y6">
        <f>470/955</f>
        <v>0.49214659685863876</v>
      </c>
      <c r="Z6">
        <f>149/211</f>
        <v>0.70616113744075826</v>
      </c>
      <c r="AA6">
        <v>109</v>
      </c>
      <c r="AB6">
        <v>1164</v>
      </c>
      <c r="AC6">
        <v>366</v>
      </c>
      <c r="AD6">
        <v>251</v>
      </c>
      <c r="AE6">
        <v>71</v>
      </c>
      <c r="AF6">
        <v>44</v>
      </c>
      <c r="AG6">
        <v>144</v>
      </c>
      <c r="AI6" s="15"/>
      <c r="AJ6" s="3"/>
      <c r="AK6" s="3"/>
      <c r="AL6" s="3"/>
      <c r="AM6" s="2"/>
      <c r="AN6" s="3"/>
      <c r="AO6" s="3"/>
      <c r="AP6" s="3"/>
      <c r="AQ6" s="3"/>
      <c r="AR6" s="3"/>
      <c r="AS6" s="9"/>
    </row>
    <row r="7" spans="2:46" ht="30" customHeight="1" x14ac:dyDescent="0.2">
      <c r="B7" t="s">
        <v>10</v>
      </c>
      <c r="C7">
        <v>0.47399999999999998</v>
      </c>
      <c r="D7">
        <v>0.81499999999999995</v>
      </c>
      <c r="E7">
        <v>570</v>
      </c>
      <c r="F7">
        <v>5329</v>
      </c>
      <c r="G7">
        <v>2015</v>
      </c>
      <c r="H7">
        <v>1235</v>
      </c>
      <c r="I7">
        <v>404</v>
      </c>
      <c r="J7">
        <v>242</v>
      </c>
      <c r="K7">
        <v>723</v>
      </c>
      <c r="M7" t="s">
        <v>10</v>
      </c>
      <c r="N7">
        <v>0.47599999999999998</v>
      </c>
      <c r="O7">
        <v>0.81699999999999995</v>
      </c>
      <c r="P7">
        <v>687</v>
      </c>
      <c r="Q7">
        <v>6497</v>
      </c>
      <c r="R7">
        <v>2456</v>
      </c>
      <c r="S7">
        <v>1499</v>
      </c>
      <c r="T7">
        <v>487</v>
      </c>
      <c r="U7">
        <v>292</v>
      </c>
      <c r="V7">
        <v>892</v>
      </c>
      <c r="X7" t="s">
        <v>10</v>
      </c>
      <c r="Y7">
        <f>399/836</f>
        <v>0.47727272727272729</v>
      </c>
      <c r="Z7">
        <f>174/223</f>
        <v>0.78026905829596416</v>
      </c>
      <c r="AA7">
        <v>117</v>
      </c>
      <c r="AB7">
        <v>1168</v>
      </c>
      <c r="AC7">
        <v>441</v>
      </c>
      <c r="AD7">
        <v>264</v>
      </c>
      <c r="AE7">
        <v>83</v>
      </c>
      <c r="AF7">
        <v>50</v>
      </c>
      <c r="AG7">
        <v>169</v>
      </c>
      <c r="AI7" s="15"/>
      <c r="AJ7" s="4"/>
      <c r="AK7" s="3"/>
      <c r="AL7" s="4"/>
      <c r="AM7" s="4"/>
      <c r="AN7" s="2"/>
      <c r="AO7" s="3"/>
      <c r="AP7" s="4"/>
      <c r="AQ7" s="4"/>
      <c r="AR7" s="3"/>
      <c r="AS7" s="9"/>
    </row>
    <row r="8" spans="2:46" ht="30" customHeight="1" x14ac:dyDescent="0.2">
      <c r="B8" t="s">
        <v>13</v>
      </c>
      <c r="C8">
        <v>0.46500000000000002</v>
      </c>
      <c r="D8">
        <v>0.84199999999999997</v>
      </c>
      <c r="E8">
        <v>473</v>
      </c>
      <c r="F8">
        <v>4443</v>
      </c>
      <c r="G8">
        <v>1425</v>
      </c>
      <c r="H8">
        <v>1068</v>
      </c>
      <c r="I8">
        <v>248</v>
      </c>
      <c r="J8">
        <v>154</v>
      </c>
      <c r="K8">
        <v>543</v>
      </c>
      <c r="M8" t="s">
        <v>13</v>
      </c>
      <c r="N8">
        <v>0.46600000000000003</v>
      </c>
      <c r="O8">
        <v>0.83899999999999997</v>
      </c>
      <c r="P8">
        <v>569</v>
      </c>
      <c r="Q8">
        <v>5362</v>
      </c>
      <c r="R8">
        <v>1717</v>
      </c>
      <c r="S8">
        <v>1297</v>
      </c>
      <c r="T8">
        <v>305</v>
      </c>
      <c r="U8">
        <v>192</v>
      </c>
      <c r="V8">
        <v>651</v>
      </c>
      <c r="X8" t="s">
        <v>13</v>
      </c>
      <c r="Y8">
        <f>294/660</f>
        <v>0.44545454545454544</v>
      </c>
      <c r="Z8">
        <f>163/191</f>
        <v>0.8534031413612565</v>
      </c>
      <c r="AA8">
        <v>96</v>
      </c>
      <c r="AB8">
        <v>919</v>
      </c>
      <c r="AC8">
        <v>292</v>
      </c>
      <c r="AD8">
        <v>229</v>
      </c>
      <c r="AE8">
        <v>57</v>
      </c>
      <c r="AF8">
        <v>38</v>
      </c>
      <c r="AG8">
        <v>108</v>
      </c>
      <c r="AI8" s="15"/>
      <c r="AJ8" s="4"/>
      <c r="AK8" s="4"/>
      <c r="AL8" s="4"/>
      <c r="AM8" s="4"/>
      <c r="AN8" s="4"/>
      <c r="AO8" s="2"/>
      <c r="AP8" s="4"/>
      <c r="AQ8" s="4"/>
      <c r="AR8" s="4"/>
      <c r="AS8" s="20"/>
    </row>
    <row r="9" spans="2:46" ht="30" customHeight="1" x14ac:dyDescent="0.2">
      <c r="B9" t="s">
        <v>16</v>
      </c>
      <c r="C9">
        <v>0.46400000000000002</v>
      </c>
      <c r="D9">
        <v>0.80400000000000005</v>
      </c>
      <c r="E9">
        <v>577</v>
      </c>
      <c r="F9">
        <v>5134</v>
      </c>
      <c r="G9">
        <v>1667</v>
      </c>
      <c r="H9">
        <v>1299</v>
      </c>
      <c r="I9">
        <v>349</v>
      </c>
      <c r="J9">
        <v>187</v>
      </c>
      <c r="K9">
        <v>657</v>
      </c>
      <c r="M9" t="s">
        <v>17</v>
      </c>
      <c r="N9">
        <v>0.46400000000000002</v>
      </c>
      <c r="O9">
        <v>0.81699999999999995</v>
      </c>
      <c r="P9">
        <v>796</v>
      </c>
      <c r="Q9">
        <v>7086</v>
      </c>
      <c r="R9">
        <v>2431</v>
      </c>
      <c r="S9">
        <v>1571</v>
      </c>
      <c r="T9">
        <v>395</v>
      </c>
      <c r="U9">
        <v>362</v>
      </c>
      <c r="V9">
        <v>932</v>
      </c>
      <c r="X9" t="s">
        <v>17</v>
      </c>
      <c r="Y9">
        <f>421/908</f>
        <v>0.46365638766519823</v>
      </c>
      <c r="Z9">
        <f>184/224</f>
        <v>0.8214285714285714</v>
      </c>
      <c r="AA9">
        <v>159</v>
      </c>
      <c r="AB9">
        <v>1352</v>
      </c>
      <c r="AC9">
        <v>456</v>
      </c>
      <c r="AD9">
        <v>288</v>
      </c>
      <c r="AE9">
        <v>72</v>
      </c>
      <c r="AF9">
        <v>87</v>
      </c>
      <c r="AG9">
        <v>164</v>
      </c>
      <c r="AI9" s="15"/>
      <c r="AJ9" s="3"/>
      <c r="AK9" s="3"/>
      <c r="AL9" s="3"/>
      <c r="AM9" s="4"/>
      <c r="AN9" s="3"/>
      <c r="AO9" s="3"/>
      <c r="AP9" s="2"/>
      <c r="AQ9" s="3"/>
      <c r="AR9" s="3"/>
      <c r="AS9" s="9"/>
    </row>
    <row r="10" spans="2:46" ht="30" customHeight="1" x14ac:dyDescent="0.2">
      <c r="B10" t="s">
        <v>14</v>
      </c>
      <c r="C10">
        <v>0.45800000000000002</v>
      </c>
      <c r="D10">
        <v>0.81</v>
      </c>
      <c r="E10">
        <v>691</v>
      </c>
      <c r="F10">
        <v>5449</v>
      </c>
      <c r="G10">
        <v>2093</v>
      </c>
      <c r="H10">
        <v>1240</v>
      </c>
      <c r="I10">
        <v>334</v>
      </c>
      <c r="J10">
        <v>198</v>
      </c>
      <c r="K10">
        <v>622</v>
      </c>
      <c r="M10" t="s">
        <v>16</v>
      </c>
      <c r="N10">
        <v>0.46300000000000002</v>
      </c>
      <c r="O10">
        <v>0.81100000000000005</v>
      </c>
      <c r="P10">
        <v>679</v>
      </c>
      <c r="Q10">
        <v>6214</v>
      </c>
      <c r="R10">
        <v>1998</v>
      </c>
      <c r="S10">
        <v>1572</v>
      </c>
      <c r="T10">
        <v>450</v>
      </c>
      <c r="U10">
        <v>235</v>
      </c>
      <c r="V10">
        <v>804</v>
      </c>
      <c r="X10" t="s">
        <v>16</v>
      </c>
      <c r="Y10">
        <f>413/907</f>
        <v>0.45534729878721059</v>
      </c>
      <c r="Z10">
        <f>159/196</f>
        <v>0.81122448979591832</v>
      </c>
      <c r="AA10">
        <v>102</v>
      </c>
      <c r="AB10">
        <v>1080</v>
      </c>
      <c r="AC10">
        <v>331</v>
      </c>
      <c r="AD10">
        <v>273</v>
      </c>
      <c r="AE10">
        <v>101</v>
      </c>
      <c r="AF10">
        <v>48</v>
      </c>
      <c r="AG10">
        <v>147</v>
      </c>
      <c r="AI10" s="15"/>
      <c r="AJ10" s="3"/>
      <c r="AK10" s="4"/>
      <c r="AL10" s="4"/>
      <c r="AM10" s="4"/>
      <c r="AN10" s="3"/>
      <c r="AO10" s="3"/>
      <c r="AP10" s="4"/>
      <c r="AQ10" s="2"/>
      <c r="AR10" s="3"/>
      <c r="AS10" s="9"/>
    </row>
    <row r="11" spans="2:46" ht="30" customHeight="1" x14ac:dyDescent="0.2">
      <c r="B11" t="s">
        <v>17</v>
      </c>
      <c r="C11">
        <v>0.45700000000000002</v>
      </c>
      <c r="D11">
        <v>0.82499999999999996</v>
      </c>
      <c r="E11">
        <v>637</v>
      </c>
      <c r="F11">
        <v>5734</v>
      </c>
      <c r="G11">
        <v>1975</v>
      </c>
      <c r="H11">
        <v>1283</v>
      </c>
      <c r="I11">
        <v>323</v>
      </c>
      <c r="J11">
        <v>275</v>
      </c>
      <c r="K11">
        <v>768</v>
      </c>
      <c r="M11" t="s">
        <v>14</v>
      </c>
      <c r="N11">
        <v>0.45900000000000002</v>
      </c>
      <c r="O11">
        <v>0.80700000000000005</v>
      </c>
      <c r="P11">
        <v>862</v>
      </c>
      <c r="Q11">
        <v>6662</v>
      </c>
      <c r="R11">
        <v>2553</v>
      </c>
      <c r="S11">
        <v>1515</v>
      </c>
      <c r="T11">
        <v>406</v>
      </c>
      <c r="U11">
        <v>245</v>
      </c>
      <c r="V11">
        <v>748</v>
      </c>
      <c r="X11" t="s">
        <v>14</v>
      </c>
      <c r="Y11">
        <f>407/896</f>
        <v>0.45424107142857145</v>
      </c>
      <c r="Z11">
        <f>200/236</f>
        <v>0.84745762711864403</v>
      </c>
      <c r="AA11">
        <v>171</v>
      </c>
      <c r="AB11">
        <v>1213</v>
      </c>
      <c r="AC11">
        <v>460</v>
      </c>
      <c r="AD11">
        <v>275</v>
      </c>
      <c r="AE11">
        <v>72</v>
      </c>
      <c r="AF11">
        <v>47</v>
      </c>
      <c r="AG11">
        <v>126</v>
      </c>
      <c r="AI11" s="15"/>
      <c r="AJ11" s="3"/>
      <c r="AK11" s="4"/>
      <c r="AL11" s="4"/>
      <c r="AM11" s="4"/>
      <c r="AN11" s="4"/>
      <c r="AO11" s="3"/>
      <c r="AP11" s="4"/>
      <c r="AQ11" s="4"/>
      <c r="AR11" s="2"/>
      <c r="AS11" s="9"/>
    </row>
    <row r="12" spans="2:46" ht="30" customHeight="1" thickBot="1" x14ac:dyDescent="0.25">
      <c r="B12" t="s">
        <v>18</v>
      </c>
      <c r="C12">
        <v>0.45700000000000002</v>
      </c>
      <c r="D12">
        <v>0.74099999999999999</v>
      </c>
      <c r="E12">
        <v>525</v>
      </c>
      <c r="F12">
        <v>4232</v>
      </c>
      <c r="G12">
        <v>1720</v>
      </c>
      <c r="H12">
        <v>882</v>
      </c>
      <c r="I12">
        <v>324</v>
      </c>
      <c r="J12">
        <v>245</v>
      </c>
      <c r="K12">
        <v>509</v>
      </c>
      <c r="M12" t="s">
        <v>18</v>
      </c>
      <c r="N12">
        <v>0.45600000000000002</v>
      </c>
      <c r="O12">
        <v>0.75600000000000001</v>
      </c>
      <c r="P12">
        <v>682</v>
      </c>
      <c r="Q12">
        <v>5416</v>
      </c>
      <c r="R12">
        <v>2119</v>
      </c>
      <c r="S12">
        <v>1164</v>
      </c>
      <c r="T12">
        <v>410</v>
      </c>
      <c r="U12">
        <v>292</v>
      </c>
      <c r="V12">
        <v>644</v>
      </c>
      <c r="X12" t="s">
        <v>18</v>
      </c>
      <c r="Y12">
        <f>357/816</f>
        <v>0.4375</v>
      </c>
      <c r="Z12">
        <f>122/161</f>
        <v>0.75776397515527949</v>
      </c>
      <c r="AA12">
        <v>157</v>
      </c>
      <c r="AB12">
        <v>1184</v>
      </c>
      <c r="AC12">
        <v>399</v>
      </c>
      <c r="AD12">
        <v>282</v>
      </c>
      <c r="AE12">
        <v>86</v>
      </c>
      <c r="AF12">
        <v>47</v>
      </c>
      <c r="AG12">
        <v>135</v>
      </c>
      <c r="AI12" s="16"/>
      <c r="AJ12" s="11"/>
      <c r="AK12" s="11"/>
      <c r="AL12" s="11"/>
      <c r="AM12" s="11"/>
      <c r="AN12" s="11"/>
      <c r="AO12" s="18"/>
      <c r="AP12" s="11"/>
      <c r="AQ12" s="11"/>
      <c r="AR12" s="11"/>
      <c r="AS12" s="12"/>
    </row>
    <row r="14" spans="2:46" x14ac:dyDescent="0.2">
      <c r="AT14" s="1"/>
    </row>
  </sheetData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E648-8292-AE48-8A4C-DEA2395F430C}">
  <sheetPr codeName="Sheet9"/>
  <dimension ref="B1:AT14"/>
  <sheetViews>
    <sheetView topLeftCell="U1" zoomScaleNormal="100" workbookViewId="0">
      <selection activeCell="M3" sqref="M3:V12"/>
    </sheetView>
  </sheetViews>
  <sheetFormatPr baseColWidth="10" defaultRowHeight="16" x14ac:dyDescent="0.2"/>
  <cols>
    <col min="35" max="45" width="10.83203125" customWidth="1"/>
  </cols>
  <sheetData>
    <row r="1" spans="2:46" ht="17" thickBot="1" x14ac:dyDescent="0.25">
      <c r="B1" t="s">
        <v>20</v>
      </c>
      <c r="N1" t="s">
        <v>22</v>
      </c>
      <c r="Y1" t="s">
        <v>21</v>
      </c>
    </row>
    <row r="2" spans="2:46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47</v>
      </c>
      <c r="AJ2" s="6" t="s">
        <v>15</v>
      </c>
      <c r="AK2" s="6" t="s">
        <v>19</v>
      </c>
      <c r="AL2" s="6" t="s">
        <v>12</v>
      </c>
      <c r="AM2" s="6" t="s">
        <v>10</v>
      </c>
      <c r="AN2" s="6" t="s">
        <v>11</v>
      </c>
      <c r="AO2" s="6" t="s">
        <v>13</v>
      </c>
      <c r="AP2" s="6" t="s">
        <v>17</v>
      </c>
      <c r="AQ2" s="6" t="s">
        <v>16</v>
      </c>
      <c r="AR2" s="6" t="s">
        <v>14</v>
      </c>
      <c r="AS2" s="7" t="s">
        <v>18</v>
      </c>
      <c r="AT2" s="1"/>
    </row>
    <row r="3" spans="2:46" ht="30" customHeight="1" x14ac:dyDescent="0.2">
      <c r="B3" t="s">
        <v>15</v>
      </c>
      <c r="C3">
        <v>0.49</v>
      </c>
      <c r="D3">
        <v>0.78900000000000003</v>
      </c>
      <c r="E3">
        <v>679</v>
      </c>
      <c r="F3">
        <v>6402</v>
      </c>
      <c r="G3">
        <v>2539</v>
      </c>
      <c r="H3">
        <v>1331</v>
      </c>
      <c r="I3">
        <v>379</v>
      </c>
      <c r="J3">
        <v>244</v>
      </c>
      <c r="K3">
        <v>713</v>
      </c>
      <c r="M3" t="s">
        <v>15</v>
      </c>
      <c r="N3">
        <v>0.48899999999999999</v>
      </c>
      <c r="O3">
        <v>0.78500000000000003</v>
      </c>
      <c r="P3">
        <v>734</v>
      </c>
      <c r="Q3">
        <v>6953</v>
      </c>
      <c r="R3">
        <v>2825</v>
      </c>
      <c r="S3">
        <v>1445</v>
      </c>
      <c r="T3">
        <v>416</v>
      </c>
      <c r="U3">
        <v>279</v>
      </c>
      <c r="V3">
        <v>774</v>
      </c>
      <c r="X3" t="s">
        <v>15</v>
      </c>
      <c r="Y3">
        <f>213/444</f>
        <v>0.47972972972972971</v>
      </c>
      <c r="Z3">
        <f>70/95</f>
        <v>0.73684210526315785</v>
      </c>
      <c r="AA3">
        <v>55</v>
      </c>
      <c r="AB3">
        <v>551</v>
      </c>
      <c r="AC3">
        <v>286</v>
      </c>
      <c r="AD3">
        <v>114</v>
      </c>
      <c r="AE3">
        <v>37</v>
      </c>
      <c r="AF3">
        <v>35</v>
      </c>
      <c r="AG3">
        <v>61</v>
      </c>
      <c r="AI3" s="15" t="s">
        <v>15</v>
      </c>
      <c r="AJ3" s="2" t="s">
        <v>23</v>
      </c>
      <c r="AK3" s="4" t="s">
        <v>30</v>
      </c>
      <c r="AL3" s="3" t="s">
        <v>29</v>
      </c>
      <c r="AM3" s="4" t="s">
        <v>28</v>
      </c>
      <c r="AN3" s="4" t="s">
        <v>37</v>
      </c>
      <c r="AO3" s="4" t="s">
        <v>26</v>
      </c>
      <c r="AP3" s="4" t="s">
        <v>26</v>
      </c>
      <c r="AQ3" s="4" t="s">
        <v>26</v>
      </c>
      <c r="AR3" s="4" t="s">
        <v>30</v>
      </c>
      <c r="AS3" s="20" t="s">
        <v>30</v>
      </c>
    </row>
    <row r="4" spans="2:46" ht="30" customHeight="1" x14ac:dyDescent="0.2">
      <c r="B4" t="s">
        <v>19</v>
      </c>
      <c r="C4">
        <v>0.48599999999999999</v>
      </c>
      <c r="D4">
        <v>0.83599999999999997</v>
      </c>
      <c r="E4">
        <v>610</v>
      </c>
      <c r="F4">
        <v>5992</v>
      </c>
      <c r="G4">
        <v>1963</v>
      </c>
      <c r="H4">
        <v>1632</v>
      </c>
      <c r="I4">
        <v>378</v>
      </c>
      <c r="J4">
        <v>207</v>
      </c>
      <c r="K4">
        <v>665</v>
      </c>
      <c r="M4" t="s">
        <v>19</v>
      </c>
      <c r="N4">
        <v>0.48399999999999999</v>
      </c>
      <c r="O4">
        <v>0.82899999999999996</v>
      </c>
      <c r="P4">
        <v>666</v>
      </c>
      <c r="Q4">
        <v>6612</v>
      </c>
      <c r="R4">
        <v>2168</v>
      </c>
      <c r="S4">
        <v>1827</v>
      </c>
      <c r="T4">
        <v>425</v>
      </c>
      <c r="U4">
        <v>228</v>
      </c>
      <c r="V4">
        <v>730</v>
      </c>
      <c r="X4" t="s">
        <v>19</v>
      </c>
      <c r="Y4">
        <f>241/511</f>
        <v>0.47162426614481406</v>
      </c>
      <c r="Z4">
        <f>82/110</f>
        <v>0.74545454545454548</v>
      </c>
      <c r="AA4">
        <v>56</v>
      </c>
      <c r="AB4">
        <v>620</v>
      </c>
      <c r="AC4">
        <v>205</v>
      </c>
      <c r="AD4">
        <v>195</v>
      </c>
      <c r="AE4">
        <v>47</v>
      </c>
      <c r="AF4">
        <v>21</v>
      </c>
      <c r="AG4">
        <v>65</v>
      </c>
      <c r="AI4" s="15" t="s">
        <v>19</v>
      </c>
      <c r="AJ4" s="3" t="s">
        <v>29</v>
      </c>
      <c r="AK4" s="2" t="s">
        <v>23</v>
      </c>
      <c r="AL4" s="3" t="s">
        <v>24</v>
      </c>
      <c r="AM4" s="4" t="s">
        <v>26</v>
      </c>
      <c r="AN4" s="4" t="s">
        <v>26</v>
      </c>
      <c r="AO4" s="4" t="s">
        <v>26</v>
      </c>
      <c r="AP4" s="4" t="s">
        <v>30</v>
      </c>
      <c r="AQ4" s="4" t="s">
        <v>28</v>
      </c>
      <c r="AR4" s="4" t="s">
        <v>30</v>
      </c>
      <c r="AS4" s="20" t="s">
        <v>28</v>
      </c>
    </row>
    <row r="5" spans="2:46" ht="30" customHeight="1" x14ac:dyDescent="0.2">
      <c r="B5" t="s">
        <v>12</v>
      </c>
      <c r="C5">
        <v>0.48199999999999998</v>
      </c>
      <c r="D5">
        <v>0.76700000000000002</v>
      </c>
      <c r="E5">
        <v>665</v>
      </c>
      <c r="F5">
        <v>6488</v>
      </c>
      <c r="G5">
        <v>2177</v>
      </c>
      <c r="H5">
        <v>1532</v>
      </c>
      <c r="I5">
        <v>352</v>
      </c>
      <c r="J5">
        <v>194</v>
      </c>
      <c r="K5">
        <v>808</v>
      </c>
      <c r="M5" t="s">
        <v>12</v>
      </c>
      <c r="N5">
        <v>0.48299999999999998</v>
      </c>
      <c r="O5">
        <v>0.77400000000000002</v>
      </c>
      <c r="P5">
        <v>713</v>
      </c>
      <c r="Q5">
        <v>7077</v>
      </c>
      <c r="R5">
        <v>2364</v>
      </c>
      <c r="S5">
        <v>1664</v>
      </c>
      <c r="T5">
        <v>382</v>
      </c>
      <c r="U5">
        <v>213</v>
      </c>
      <c r="V5">
        <v>895</v>
      </c>
      <c r="X5" t="s">
        <v>12</v>
      </c>
      <c r="Y5">
        <f>219/443</f>
        <v>0.49435665914221216</v>
      </c>
      <c r="Z5">
        <f>103/121</f>
        <v>0.85123966942148765</v>
      </c>
      <c r="AA5">
        <v>48</v>
      </c>
      <c r="AB5">
        <v>589</v>
      </c>
      <c r="AC5">
        <v>187</v>
      </c>
      <c r="AD5">
        <v>132</v>
      </c>
      <c r="AE5">
        <v>30</v>
      </c>
      <c r="AF5">
        <v>19</v>
      </c>
      <c r="AG5">
        <v>87</v>
      </c>
      <c r="AI5" s="15" t="s">
        <v>12</v>
      </c>
      <c r="AJ5" s="4" t="s">
        <v>30</v>
      </c>
      <c r="AK5" s="4" t="s">
        <v>28</v>
      </c>
      <c r="AL5" s="2" t="s">
        <v>23</v>
      </c>
      <c r="AM5" s="4" t="s">
        <v>26</v>
      </c>
      <c r="AN5" s="4" t="s">
        <v>26</v>
      </c>
      <c r="AO5" s="4" t="s">
        <v>31</v>
      </c>
      <c r="AP5" s="4" t="s">
        <v>26</v>
      </c>
      <c r="AQ5" s="4" t="s">
        <v>26</v>
      </c>
      <c r="AR5" s="4" t="s">
        <v>30</v>
      </c>
      <c r="AS5" s="20" t="s">
        <v>26</v>
      </c>
    </row>
    <row r="6" spans="2:46" ht="30" customHeight="1" x14ac:dyDescent="0.2">
      <c r="B6" t="s">
        <v>11</v>
      </c>
      <c r="C6">
        <v>0.47699999999999998</v>
      </c>
      <c r="D6">
        <v>0.746</v>
      </c>
      <c r="E6">
        <v>690</v>
      </c>
      <c r="F6">
        <v>7094</v>
      </c>
      <c r="G6">
        <v>2426</v>
      </c>
      <c r="H6">
        <v>1556</v>
      </c>
      <c r="I6">
        <v>420</v>
      </c>
      <c r="J6">
        <v>282</v>
      </c>
      <c r="K6">
        <v>864</v>
      </c>
      <c r="M6" t="s">
        <v>10</v>
      </c>
      <c r="N6">
        <v>0.47799999999999998</v>
      </c>
      <c r="O6">
        <v>0.81599999999999995</v>
      </c>
      <c r="P6">
        <v>768</v>
      </c>
      <c r="Q6">
        <v>7263</v>
      </c>
      <c r="R6">
        <v>2731</v>
      </c>
      <c r="S6">
        <v>1667</v>
      </c>
      <c r="T6">
        <v>529</v>
      </c>
      <c r="U6">
        <v>332</v>
      </c>
      <c r="V6">
        <v>997</v>
      </c>
      <c r="X6" t="s">
        <v>10</v>
      </c>
      <c r="Y6">
        <f>281/571</f>
        <v>0.49211908931698772</v>
      </c>
      <c r="Z6">
        <f>123/152</f>
        <v>0.80921052631578949</v>
      </c>
      <c r="AA6">
        <v>81</v>
      </c>
      <c r="AB6">
        <v>766</v>
      </c>
      <c r="AC6">
        <v>275</v>
      </c>
      <c r="AD6">
        <v>168</v>
      </c>
      <c r="AE6">
        <v>42</v>
      </c>
      <c r="AF6">
        <v>40</v>
      </c>
      <c r="AG6">
        <v>105</v>
      </c>
      <c r="AI6" s="15" t="s">
        <v>10</v>
      </c>
      <c r="AJ6" s="3" t="s">
        <v>24</v>
      </c>
      <c r="AK6" s="3" t="s">
        <v>25</v>
      </c>
      <c r="AL6" s="3" t="s">
        <v>25</v>
      </c>
      <c r="AM6" s="2" t="s">
        <v>23</v>
      </c>
      <c r="AN6" s="3" t="s">
        <v>27</v>
      </c>
      <c r="AO6" s="3" t="s">
        <v>25</v>
      </c>
      <c r="AP6" s="3" t="s">
        <v>34</v>
      </c>
      <c r="AQ6" s="4" t="s">
        <v>28</v>
      </c>
      <c r="AR6" s="3" t="s">
        <v>29</v>
      </c>
      <c r="AS6" s="20" t="s">
        <v>30</v>
      </c>
    </row>
    <row r="7" spans="2:46" ht="30" customHeight="1" x14ac:dyDescent="0.2">
      <c r="B7" t="s">
        <v>10</v>
      </c>
      <c r="C7">
        <v>0.47599999999999998</v>
      </c>
      <c r="D7">
        <v>0.81699999999999995</v>
      </c>
      <c r="E7">
        <v>687</v>
      </c>
      <c r="F7">
        <v>6497</v>
      </c>
      <c r="G7">
        <v>2456</v>
      </c>
      <c r="H7">
        <v>1499</v>
      </c>
      <c r="I7">
        <v>487</v>
      </c>
      <c r="J7">
        <v>292</v>
      </c>
      <c r="K7">
        <v>892</v>
      </c>
      <c r="M7" t="s">
        <v>11</v>
      </c>
      <c r="N7">
        <v>0.47799999999999998</v>
      </c>
      <c r="O7">
        <v>0.746</v>
      </c>
      <c r="P7">
        <v>761</v>
      </c>
      <c r="Q7">
        <v>7838</v>
      </c>
      <c r="R7">
        <v>2662</v>
      </c>
      <c r="S7">
        <v>1685</v>
      </c>
      <c r="T7">
        <v>457</v>
      </c>
      <c r="U7">
        <v>307</v>
      </c>
      <c r="V7">
        <v>933</v>
      </c>
      <c r="X7" t="s">
        <v>11</v>
      </c>
      <c r="Y7">
        <f>288/594</f>
        <v>0.48484848484848486</v>
      </c>
      <c r="Z7">
        <f>97/130</f>
        <v>0.74615384615384617</v>
      </c>
      <c r="AA7">
        <v>71</v>
      </c>
      <c r="AB7">
        <v>744</v>
      </c>
      <c r="AC7">
        <v>236</v>
      </c>
      <c r="AD7">
        <v>129</v>
      </c>
      <c r="AE7">
        <v>37</v>
      </c>
      <c r="AF7">
        <v>25</v>
      </c>
      <c r="AG7">
        <v>69</v>
      </c>
      <c r="AI7" s="15" t="s">
        <v>11</v>
      </c>
      <c r="AJ7" s="3" t="s">
        <v>34</v>
      </c>
      <c r="AK7" s="3" t="s">
        <v>25</v>
      </c>
      <c r="AL7" s="3" t="s">
        <v>25</v>
      </c>
      <c r="AM7" s="4" t="s">
        <v>31</v>
      </c>
      <c r="AN7" s="2" t="s">
        <v>23</v>
      </c>
      <c r="AO7" s="4" t="s">
        <v>26</v>
      </c>
      <c r="AP7" s="4" t="s">
        <v>30</v>
      </c>
      <c r="AQ7" s="4" t="s">
        <v>26</v>
      </c>
      <c r="AR7" s="4" t="s">
        <v>30</v>
      </c>
      <c r="AS7" s="20" t="s">
        <v>36</v>
      </c>
    </row>
    <row r="8" spans="2:46" ht="30" customHeight="1" x14ac:dyDescent="0.2">
      <c r="B8" t="s">
        <v>13</v>
      </c>
      <c r="C8">
        <v>0.46600000000000003</v>
      </c>
      <c r="D8">
        <v>0.83899999999999997</v>
      </c>
      <c r="E8">
        <v>569</v>
      </c>
      <c r="F8">
        <v>5362</v>
      </c>
      <c r="G8">
        <v>1717</v>
      </c>
      <c r="H8">
        <v>1297</v>
      </c>
      <c r="I8">
        <v>305</v>
      </c>
      <c r="J8">
        <v>192</v>
      </c>
      <c r="K8">
        <v>651</v>
      </c>
      <c r="M8" t="s">
        <v>13</v>
      </c>
      <c r="N8">
        <v>0.47</v>
      </c>
      <c r="O8">
        <v>0.83899999999999997</v>
      </c>
      <c r="P8">
        <v>639</v>
      </c>
      <c r="Q8">
        <v>6097</v>
      </c>
      <c r="R8">
        <v>1954</v>
      </c>
      <c r="S8">
        <v>1456</v>
      </c>
      <c r="T8">
        <v>345</v>
      </c>
      <c r="U8">
        <v>221</v>
      </c>
      <c r="V8">
        <v>732</v>
      </c>
      <c r="X8" t="s">
        <v>13</v>
      </c>
      <c r="Y8">
        <f>264/527</f>
        <v>0.50094876660341559</v>
      </c>
      <c r="Z8">
        <f>137/163</f>
        <v>0.8404907975460123</v>
      </c>
      <c r="AA8">
        <v>70</v>
      </c>
      <c r="AB8">
        <v>735</v>
      </c>
      <c r="AC8">
        <v>237</v>
      </c>
      <c r="AD8">
        <v>159</v>
      </c>
      <c r="AE8">
        <v>40</v>
      </c>
      <c r="AF8">
        <v>29</v>
      </c>
      <c r="AG8">
        <v>81</v>
      </c>
      <c r="AI8" s="15" t="s">
        <v>13</v>
      </c>
      <c r="AJ8" s="3" t="s">
        <v>25</v>
      </c>
      <c r="AK8" s="3" t="s">
        <v>25</v>
      </c>
      <c r="AL8" s="3" t="s">
        <v>27</v>
      </c>
      <c r="AM8" s="4" t="s">
        <v>26</v>
      </c>
      <c r="AN8" s="3" t="s">
        <v>25</v>
      </c>
      <c r="AO8" s="2" t="s">
        <v>23</v>
      </c>
      <c r="AP8" s="4" t="s">
        <v>30</v>
      </c>
      <c r="AQ8" s="4" t="s">
        <v>30</v>
      </c>
      <c r="AR8" s="3" t="s">
        <v>29</v>
      </c>
      <c r="AS8" s="20" t="s">
        <v>26</v>
      </c>
    </row>
    <row r="9" spans="2:46" ht="30" customHeight="1" x14ac:dyDescent="0.2">
      <c r="B9" t="s">
        <v>17</v>
      </c>
      <c r="C9">
        <v>0.46400000000000002</v>
      </c>
      <c r="D9">
        <v>0.81699999999999995</v>
      </c>
      <c r="E9">
        <v>796</v>
      </c>
      <c r="F9">
        <v>7086</v>
      </c>
      <c r="G9">
        <v>2431</v>
      </c>
      <c r="H9">
        <v>1571</v>
      </c>
      <c r="I9">
        <v>395</v>
      </c>
      <c r="J9">
        <v>362</v>
      </c>
      <c r="K9">
        <v>932</v>
      </c>
      <c r="M9" t="s">
        <v>17</v>
      </c>
      <c r="N9">
        <v>0.46500000000000002</v>
      </c>
      <c r="O9">
        <v>0.81100000000000005</v>
      </c>
      <c r="P9">
        <v>871</v>
      </c>
      <c r="Q9">
        <v>7823</v>
      </c>
      <c r="R9">
        <v>2748</v>
      </c>
      <c r="S9">
        <v>1753</v>
      </c>
      <c r="T9">
        <v>446</v>
      </c>
      <c r="U9">
        <v>390</v>
      </c>
      <c r="V9">
        <v>1037</v>
      </c>
      <c r="X9" t="s">
        <v>17</v>
      </c>
      <c r="Y9">
        <f>280/594</f>
        <v>0.4713804713804714</v>
      </c>
      <c r="Z9">
        <f>102/137</f>
        <v>0.74452554744525545</v>
      </c>
      <c r="AA9">
        <v>75</v>
      </c>
      <c r="AB9">
        <v>737</v>
      </c>
      <c r="AC9">
        <v>317</v>
      </c>
      <c r="AD9">
        <v>182</v>
      </c>
      <c r="AE9">
        <v>51</v>
      </c>
      <c r="AF9">
        <v>28</v>
      </c>
      <c r="AG9">
        <v>105</v>
      </c>
      <c r="AI9" s="15" t="s">
        <v>17</v>
      </c>
      <c r="AJ9" s="3" t="s">
        <v>25</v>
      </c>
      <c r="AK9" s="3" t="s">
        <v>29</v>
      </c>
      <c r="AL9" s="3" t="s">
        <v>25</v>
      </c>
      <c r="AM9" s="4" t="s">
        <v>37</v>
      </c>
      <c r="AN9" s="3" t="s">
        <v>29</v>
      </c>
      <c r="AO9" s="3" t="s">
        <v>29</v>
      </c>
      <c r="AP9" s="2" t="s">
        <v>23</v>
      </c>
      <c r="AQ9" s="4" t="s">
        <v>36</v>
      </c>
      <c r="AR9" s="3" t="s">
        <v>25</v>
      </c>
      <c r="AS9" s="20" t="s">
        <v>30</v>
      </c>
    </row>
    <row r="10" spans="2:46" ht="30" customHeight="1" x14ac:dyDescent="0.2">
      <c r="B10" t="s">
        <v>16</v>
      </c>
      <c r="C10">
        <v>0.46300000000000002</v>
      </c>
      <c r="D10">
        <v>0.81100000000000005</v>
      </c>
      <c r="E10">
        <v>679</v>
      </c>
      <c r="F10">
        <v>6214</v>
      </c>
      <c r="G10">
        <v>1998</v>
      </c>
      <c r="H10">
        <v>1572</v>
      </c>
      <c r="I10">
        <v>450</v>
      </c>
      <c r="J10">
        <v>235</v>
      </c>
      <c r="K10">
        <v>804</v>
      </c>
      <c r="M10" t="s">
        <v>16</v>
      </c>
      <c r="N10">
        <v>0.46500000000000002</v>
      </c>
      <c r="O10">
        <v>0.81200000000000006</v>
      </c>
      <c r="P10">
        <v>780</v>
      </c>
      <c r="Q10">
        <v>7047</v>
      </c>
      <c r="R10">
        <v>2274</v>
      </c>
      <c r="S10">
        <v>1770</v>
      </c>
      <c r="T10">
        <v>501</v>
      </c>
      <c r="U10">
        <v>255</v>
      </c>
      <c r="V10">
        <v>908</v>
      </c>
      <c r="X10" t="s">
        <v>16</v>
      </c>
      <c r="Y10">
        <f>307/638</f>
        <v>0.48119122257053293</v>
      </c>
      <c r="Z10">
        <f>118/145</f>
        <v>0.81379310344827582</v>
      </c>
      <c r="AA10">
        <v>101</v>
      </c>
      <c r="AB10">
        <v>833</v>
      </c>
      <c r="AC10">
        <v>276</v>
      </c>
      <c r="AD10">
        <v>198</v>
      </c>
      <c r="AE10">
        <v>51</v>
      </c>
      <c r="AF10">
        <v>20</v>
      </c>
      <c r="AG10">
        <v>104</v>
      </c>
      <c r="AI10" s="15" t="s">
        <v>16</v>
      </c>
      <c r="AJ10" s="3" t="s">
        <v>25</v>
      </c>
      <c r="AK10" s="3" t="s">
        <v>24</v>
      </c>
      <c r="AL10" s="3" t="s">
        <v>25</v>
      </c>
      <c r="AM10" s="3" t="s">
        <v>24</v>
      </c>
      <c r="AN10" s="3" t="s">
        <v>25</v>
      </c>
      <c r="AO10" s="3" t="s">
        <v>29</v>
      </c>
      <c r="AP10" s="3" t="s">
        <v>33</v>
      </c>
      <c r="AQ10" s="2" t="s">
        <v>23</v>
      </c>
      <c r="AR10" s="3" t="s">
        <v>27</v>
      </c>
      <c r="AS10" s="20" t="s">
        <v>30</v>
      </c>
    </row>
    <row r="11" spans="2:46" ht="30" customHeight="1" x14ac:dyDescent="0.2">
      <c r="B11" t="s">
        <v>14</v>
      </c>
      <c r="C11">
        <v>0.45900000000000002</v>
      </c>
      <c r="D11">
        <v>0.80700000000000005</v>
      </c>
      <c r="E11">
        <v>862</v>
      </c>
      <c r="F11">
        <v>6662</v>
      </c>
      <c r="G11">
        <v>2553</v>
      </c>
      <c r="H11">
        <v>1515</v>
      </c>
      <c r="I11">
        <v>406</v>
      </c>
      <c r="J11">
        <v>245</v>
      </c>
      <c r="K11">
        <v>748</v>
      </c>
      <c r="M11" t="s">
        <v>14</v>
      </c>
      <c r="N11">
        <v>0.45800000000000002</v>
      </c>
      <c r="O11">
        <v>0.80600000000000005</v>
      </c>
      <c r="P11">
        <v>955</v>
      </c>
      <c r="Q11">
        <v>7390</v>
      </c>
      <c r="R11">
        <v>2818</v>
      </c>
      <c r="S11">
        <v>1692</v>
      </c>
      <c r="T11">
        <v>456</v>
      </c>
      <c r="U11">
        <v>262</v>
      </c>
      <c r="V11">
        <v>842</v>
      </c>
      <c r="X11" t="s">
        <v>14</v>
      </c>
      <c r="Y11">
        <f>260/575</f>
        <v>0.45217391304347826</v>
      </c>
      <c r="Z11">
        <f>115/144</f>
        <v>0.79861111111111116</v>
      </c>
      <c r="AA11">
        <v>93</v>
      </c>
      <c r="AB11">
        <v>728</v>
      </c>
      <c r="AC11">
        <v>265</v>
      </c>
      <c r="AD11">
        <v>177</v>
      </c>
      <c r="AE11">
        <v>50</v>
      </c>
      <c r="AF11">
        <v>17</v>
      </c>
      <c r="AG11">
        <v>94</v>
      </c>
      <c r="AI11" s="15" t="s">
        <v>14</v>
      </c>
      <c r="AJ11" s="3" t="s">
        <v>29</v>
      </c>
      <c r="AK11" s="3" t="s">
        <v>29</v>
      </c>
      <c r="AL11" s="3" t="s">
        <v>29</v>
      </c>
      <c r="AM11" s="4" t="s">
        <v>30</v>
      </c>
      <c r="AN11" s="3" t="s">
        <v>29</v>
      </c>
      <c r="AO11" s="4" t="s">
        <v>30</v>
      </c>
      <c r="AP11" s="4" t="s">
        <v>26</v>
      </c>
      <c r="AQ11" s="4" t="s">
        <v>31</v>
      </c>
      <c r="AR11" s="2" t="s">
        <v>23</v>
      </c>
      <c r="AS11" s="20" t="s">
        <v>26</v>
      </c>
    </row>
    <row r="12" spans="2:46" ht="30" customHeight="1" thickBot="1" x14ac:dyDescent="0.25">
      <c r="B12" t="s">
        <v>18</v>
      </c>
      <c r="C12">
        <v>0.45600000000000002</v>
      </c>
      <c r="D12">
        <v>0.75600000000000001</v>
      </c>
      <c r="E12">
        <v>682</v>
      </c>
      <c r="F12">
        <v>5416</v>
      </c>
      <c r="G12">
        <v>2119</v>
      </c>
      <c r="H12">
        <v>1164</v>
      </c>
      <c r="I12">
        <v>410</v>
      </c>
      <c r="J12">
        <v>292</v>
      </c>
      <c r="K12">
        <v>644</v>
      </c>
      <c r="M12" t="s">
        <v>18</v>
      </c>
      <c r="N12">
        <v>0.45600000000000002</v>
      </c>
      <c r="O12">
        <v>0.76700000000000002</v>
      </c>
      <c r="P12">
        <v>785</v>
      </c>
      <c r="Q12">
        <v>6191</v>
      </c>
      <c r="R12">
        <v>2367</v>
      </c>
      <c r="S12">
        <v>1363</v>
      </c>
      <c r="T12">
        <v>464</v>
      </c>
      <c r="U12">
        <v>317</v>
      </c>
      <c r="V12">
        <v>750</v>
      </c>
      <c r="X12" t="s">
        <v>18</v>
      </c>
      <c r="Y12">
        <f>277/614</f>
        <v>0.45114006514657978</v>
      </c>
      <c r="Z12">
        <f>118/139</f>
        <v>0.84892086330935257</v>
      </c>
      <c r="AA12">
        <v>103</v>
      </c>
      <c r="AB12">
        <v>775</v>
      </c>
      <c r="AC12">
        <v>248</v>
      </c>
      <c r="AD12">
        <v>199</v>
      </c>
      <c r="AE12">
        <v>54</v>
      </c>
      <c r="AF12">
        <v>25</v>
      </c>
      <c r="AG12">
        <v>106</v>
      </c>
      <c r="AI12" s="16" t="s">
        <v>18</v>
      </c>
      <c r="AJ12" s="18" t="s">
        <v>29</v>
      </c>
      <c r="AK12" s="18" t="s">
        <v>24</v>
      </c>
      <c r="AL12" s="18" t="s">
        <v>25</v>
      </c>
      <c r="AM12" s="18" t="s">
        <v>29</v>
      </c>
      <c r="AN12" s="18" t="s">
        <v>33</v>
      </c>
      <c r="AO12" s="18" t="s">
        <v>25</v>
      </c>
      <c r="AP12" s="18" t="s">
        <v>29</v>
      </c>
      <c r="AQ12" s="18" t="s">
        <v>29</v>
      </c>
      <c r="AR12" s="18" t="s">
        <v>25</v>
      </c>
      <c r="AS12" s="12" t="s">
        <v>23</v>
      </c>
    </row>
    <row r="14" spans="2:46" x14ac:dyDescent="0.2">
      <c r="AT14" s="1"/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CF9A-775A-F249-96C4-AA0D0C015DE4}">
  <sheetPr codeName="Sheet10"/>
  <dimension ref="B1:AS12"/>
  <sheetViews>
    <sheetView topLeftCell="M1" workbookViewId="0">
      <selection activeCell="AF15" sqref="AF15"/>
    </sheetView>
  </sheetViews>
  <sheetFormatPr baseColWidth="10" defaultRowHeight="16" x14ac:dyDescent="0.2"/>
  <sheetData>
    <row r="1" spans="2:45" ht="17" customHeight="1" thickBot="1" x14ac:dyDescent="0.25">
      <c r="B1" t="s">
        <v>20</v>
      </c>
      <c r="N1" t="s">
        <v>22</v>
      </c>
      <c r="Y1" t="s">
        <v>21</v>
      </c>
    </row>
    <row r="2" spans="2:45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48</v>
      </c>
      <c r="AJ2" s="6" t="s">
        <v>15</v>
      </c>
      <c r="AK2" s="6" t="s">
        <v>19</v>
      </c>
      <c r="AL2" s="6" t="s">
        <v>12</v>
      </c>
      <c r="AM2" s="6" t="s">
        <v>10</v>
      </c>
      <c r="AN2" s="6" t="s">
        <v>11</v>
      </c>
      <c r="AO2" s="6" t="s">
        <v>13</v>
      </c>
      <c r="AP2" s="6" t="s">
        <v>16</v>
      </c>
      <c r="AQ2" s="6" t="s">
        <v>17</v>
      </c>
      <c r="AR2" s="6" t="s">
        <v>14</v>
      </c>
      <c r="AS2" s="7" t="s">
        <v>18</v>
      </c>
    </row>
    <row r="3" spans="2:45" ht="30" customHeight="1" x14ac:dyDescent="0.2">
      <c r="B3" t="s">
        <v>15</v>
      </c>
      <c r="C3">
        <v>0.48899999999999999</v>
      </c>
      <c r="D3">
        <v>0.78500000000000003</v>
      </c>
      <c r="E3">
        <v>734</v>
      </c>
      <c r="F3">
        <v>6953</v>
      </c>
      <c r="G3">
        <v>2825</v>
      </c>
      <c r="H3">
        <v>1445</v>
      </c>
      <c r="I3">
        <v>416</v>
      </c>
      <c r="J3">
        <v>279</v>
      </c>
      <c r="K3">
        <v>774</v>
      </c>
      <c r="M3" t="s">
        <v>15</v>
      </c>
      <c r="N3">
        <v>0.48799999999999999</v>
      </c>
      <c r="O3">
        <v>0.78700000000000003</v>
      </c>
      <c r="P3">
        <v>788</v>
      </c>
      <c r="Q3">
        <v>7485</v>
      </c>
      <c r="R3">
        <v>3040</v>
      </c>
      <c r="S3">
        <v>1536</v>
      </c>
      <c r="T3">
        <v>443</v>
      </c>
      <c r="U3">
        <v>304</v>
      </c>
      <c r="V3">
        <v>825</v>
      </c>
      <c r="X3" t="s">
        <v>15</v>
      </c>
      <c r="Y3">
        <f>251/540</f>
        <v>0.46481481481481479</v>
      </c>
      <c r="Z3">
        <f>73/114</f>
        <v>0.64035087719298245</v>
      </c>
      <c r="AA3">
        <v>54</v>
      </c>
      <c r="AB3">
        <v>532</v>
      </c>
      <c r="AC3">
        <v>215</v>
      </c>
      <c r="AD3">
        <v>91</v>
      </c>
      <c r="AE3">
        <v>27</v>
      </c>
      <c r="AF3">
        <v>25</v>
      </c>
      <c r="AG3">
        <v>51</v>
      </c>
      <c r="AI3" s="15" t="s">
        <v>15</v>
      </c>
      <c r="AJ3" s="2" t="s">
        <v>23</v>
      </c>
      <c r="AK3" s="4" t="s">
        <v>38</v>
      </c>
      <c r="AL3" s="3" t="s">
        <v>25</v>
      </c>
      <c r="AM3" s="4" t="s">
        <v>31</v>
      </c>
      <c r="AN3" s="4" t="s">
        <v>28</v>
      </c>
      <c r="AO3" s="3" t="s">
        <v>25</v>
      </c>
      <c r="AP3" s="4" t="s">
        <v>31</v>
      </c>
      <c r="AQ3" s="4" t="s">
        <v>31</v>
      </c>
      <c r="AR3" s="4" t="s">
        <v>31</v>
      </c>
      <c r="AS3" s="20" t="s">
        <v>28</v>
      </c>
    </row>
    <row r="4" spans="2:45" ht="30" customHeight="1" x14ac:dyDescent="0.2">
      <c r="B4" t="s">
        <v>19</v>
      </c>
      <c r="C4">
        <v>0.48399999999999999</v>
      </c>
      <c r="D4">
        <v>0.82899999999999996</v>
      </c>
      <c r="E4">
        <v>666</v>
      </c>
      <c r="F4">
        <v>6612</v>
      </c>
      <c r="G4">
        <v>2168</v>
      </c>
      <c r="H4">
        <v>1827</v>
      </c>
      <c r="I4">
        <v>425</v>
      </c>
      <c r="J4">
        <v>228</v>
      </c>
      <c r="K4">
        <v>730</v>
      </c>
      <c r="M4" t="s">
        <v>19</v>
      </c>
      <c r="N4">
        <v>0.48299999999999998</v>
      </c>
      <c r="O4">
        <v>0.83199999999999996</v>
      </c>
      <c r="P4">
        <v>739</v>
      </c>
      <c r="Q4">
        <v>7396</v>
      </c>
      <c r="R4">
        <v>2396</v>
      </c>
      <c r="S4">
        <v>2048</v>
      </c>
      <c r="T4">
        <v>464</v>
      </c>
      <c r="U4">
        <v>253</v>
      </c>
      <c r="V4">
        <v>829</v>
      </c>
      <c r="X4" t="s">
        <v>19</v>
      </c>
      <c r="Y4">
        <f>291/610</f>
        <v>0.47704918032786886</v>
      </c>
      <c r="Z4">
        <f>129/149</f>
        <v>0.86577181208053688</v>
      </c>
      <c r="AA4">
        <v>73</v>
      </c>
      <c r="AB4">
        <v>784</v>
      </c>
      <c r="AC4">
        <v>228</v>
      </c>
      <c r="AD4">
        <v>221</v>
      </c>
      <c r="AE4">
        <v>39</v>
      </c>
      <c r="AF4">
        <v>25</v>
      </c>
      <c r="AG4">
        <v>99</v>
      </c>
      <c r="AI4" s="15" t="s">
        <v>19</v>
      </c>
      <c r="AJ4" s="3" t="s">
        <v>39</v>
      </c>
      <c r="AK4" s="2" t="s">
        <v>23</v>
      </c>
      <c r="AL4" s="3" t="s">
        <v>27</v>
      </c>
      <c r="AM4" s="4" t="s">
        <v>28</v>
      </c>
      <c r="AN4" s="3" t="s">
        <v>29</v>
      </c>
      <c r="AO4" s="3" t="s">
        <v>27</v>
      </c>
      <c r="AP4" s="4" t="s">
        <v>28</v>
      </c>
      <c r="AQ4" s="3" t="s">
        <v>25</v>
      </c>
      <c r="AR4" s="3" t="s">
        <v>29</v>
      </c>
      <c r="AS4" s="9" t="s">
        <v>25</v>
      </c>
    </row>
    <row r="5" spans="2:45" ht="30" customHeight="1" x14ac:dyDescent="0.2">
      <c r="B5" t="s">
        <v>12</v>
      </c>
      <c r="C5">
        <v>0.48299999999999998</v>
      </c>
      <c r="D5">
        <v>0.77400000000000002</v>
      </c>
      <c r="E5">
        <v>713</v>
      </c>
      <c r="F5">
        <v>7077</v>
      </c>
      <c r="G5">
        <v>2364</v>
      </c>
      <c r="H5">
        <v>1664</v>
      </c>
      <c r="I5">
        <v>382</v>
      </c>
      <c r="J5">
        <v>213</v>
      </c>
      <c r="K5">
        <v>895</v>
      </c>
      <c r="M5" t="s">
        <v>12</v>
      </c>
      <c r="N5">
        <v>0.48099999999999998</v>
      </c>
      <c r="O5">
        <v>0.77300000000000002</v>
      </c>
      <c r="P5">
        <v>741</v>
      </c>
      <c r="Q5">
        <v>7399</v>
      </c>
      <c r="R5">
        <v>2509</v>
      </c>
      <c r="S5">
        <v>1759</v>
      </c>
      <c r="T5">
        <v>405</v>
      </c>
      <c r="U5">
        <v>227</v>
      </c>
      <c r="V5">
        <v>929</v>
      </c>
      <c r="X5" t="s">
        <v>12</v>
      </c>
      <c r="Y5">
        <f>119/267</f>
        <v>0.44569288389513106</v>
      </c>
      <c r="Z5">
        <f>56/73</f>
        <v>0.76712328767123283</v>
      </c>
      <c r="AA5">
        <v>28</v>
      </c>
      <c r="AB5">
        <v>322</v>
      </c>
      <c r="AC5">
        <v>145</v>
      </c>
      <c r="AD5">
        <v>95</v>
      </c>
      <c r="AE5">
        <v>23</v>
      </c>
      <c r="AF5">
        <v>14</v>
      </c>
      <c r="AG5">
        <v>34</v>
      </c>
      <c r="AI5" s="15" t="s">
        <v>12</v>
      </c>
      <c r="AJ5" s="4" t="s">
        <v>26</v>
      </c>
      <c r="AK5" s="4" t="s">
        <v>31</v>
      </c>
      <c r="AL5" s="2" t="s">
        <v>23</v>
      </c>
      <c r="AM5" s="4" t="s">
        <v>28</v>
      </c>
      <c r="AN5" s="4" t="s">
        <v>31</v>
      </c>
      <c r="AO5" s="4" t="s">
        <v>26</v>
      </c>
      <c r="AP5" s="4" t="s">
        <v>31</v>
      </c>
      <c r="AQ5" s="4" t="s">
        <v>28</v>
      </c>
      <c r="AR5" s="4" t="s">
        <v>31</v>
      </c>
      <c r="AS5" s="20" t="s">
        <v>31</v>
      </c>
    </row>
    <row r="6" spans="2:45" ht="30" customHeight="1" x14ac:dyDescent="0.2">
      <c r="B6" t="s">
        <v>10</v>
      </c>
      <c r="C6">
        <v>0.47799999999999998</v>
      </c>
      <c r="D6">
        <v>0.81599999999999995</v>
      </c>
      <c r="E6">
        <v>768</v>
      </c>
      <c r="F6">
        <v>7263</v>
      </c>
      <c r="G6">
        <v>2731</v>
      </c>
      <c r="H6">
        <v>1667</v>
      </c>
      <c r="I6">
        <v>529</v>
      </c>
      <c r="J6">
        <v>332</v>
      </c>
      <c r="K6">
        <v>997</v>
      </c>
      <c r="M6" t="s">
        <v>10</v>
      </c>
      <c r="N6">
        <v>0.47799999999999998</v>
      </c>
      <c r="O6">
        <v>0.81</v>
      </c>
      <c r="P6">
        <v>848</v>
      </c>
      <c r="Q6">
        <v>8050</v>
      </c>
      <c r="R6">
        <v>3032</v>
      </c>
      <c r="S6">
        <v>1876</v>
      </c>
      <c r="T6">
        <v>575</v>
      </c>
      <c r="U6">
        <v>367</v>
      </c>
      <c r="V6">
        <v>1086</v>
      </c>
      <c r="X6" t="s">
        <v>10</v>
      </c>
      <c r="Y6">
        <f>300/625</f>
        <v>0.48</v>
      </c>
      <c r="Z6">
        <f>107/144</f>
        <v>0.74305555555555558</v>
      </c>
      <c r="AA6">
        <v>80</v>
      </c>
      <c r="AB6">
        <v>787</v>
      </c>
      <c r="AC6">
        <v>301</v>
      </c>
      <c r="AD6">
        <v>209</v>
      </c>
      <c r="AE6">
        <v>46</v>
      </c>
      <c r="AF6">
        <v>35</v>
      </c>
      <c r="AG6">
        <v>89</v>
      </c>
      <c r="AI6" s="15" t="s">
        <v>10</v>
      </c>
      <c r="AJ6" s="3" t="s">
        <v>27</v>
      </c>
      <c r="AK6" s="3" t="s">
        <v>24</v>
      </c>
      <c r="AL6" s="3" t="s">
        <v>24</v>
      </c>
      <c r="AM6" s="2" t="s">
        <v>23</v>
      </c>
      <c r="AN6" s="3" t="s">
        <v>29</v>
      </c>
      <c r="AO6" s="3" t="s">
        <v>24</v>
      </c>
      <c r="AP6" s="4" t="s">
        <v>28</v>
      </c>
      <c r="AQ6" s="3" t="s">
        <v>24</v>
      </c>
      <c r="AR6" s="3" t="s">
        <v>25</v>
      </c>
      <c r="AS6" s="9" t="s">
        <v>29</v>
      </c>
    </row>
    <row r="7" spans="2:45" ht="30" customHeight="1" x14ac:dyDescent="0.2">
      <c r="B7" t="s">
        <v>11</v>
      </c>
      <c r="C7">
        <v>0.47799999999999998</v>
      </c>
      <c r="D7">
        <v>0.746</v>
      </c>
      <c r="E7">
        <v>761</v>
      </c>
      <c r="F7">
        <v>7838</v>
      </c>
      <c r="G7">
        <v>2662</v>
      </c>
      <c r="H7">
        <v>1685</v>
      </c>
      <c r="I7">
        <v>457</v>
      </c>
      <c r="J7">
        <v>307</v>
      </c>
      <c r="K7">
        <v>933</v>
      </c>
      <c r="M7" t="s">
        <v>11</v>
      </c>
      <c r="N7">
        <v>0.47599999999999998</v>
      </c>
      <c r="O7">
        <v>0.73899999999999999</v>
      </c>
      <c r="P7">
        <v>823</v>
      </c>
      <c r="Q7">
        <v>8475</v>
      </c>
      <c r="R7">
        <v>2967</v>
      </c>
      <c r="S7">
        <v>1826</v>
      </c>
      <c r="T7">
        <v>508</v>
      </c>
      <c r="U7">
        <v>339</v>
      </c>
      <c r="V7">
        <v>1000</v>
      </c>
      <c r="X7" t="s">
        <v>11</v>
      </c>
      <c r="Y7">
        <f>197/424</f>
        <v>0.46462264150943394</v>
      </c>
      <c r="Z7">
        <f>84/104</f>
        <v>0.80769230769230771</v>
      </c>
      <c r="AA7">
        <v>62</v>
      </c>
      <c r="AB7">
        <v>637</v>
      </c>
      <c r="AC7">
        <v>305</v>
      </c>
      <c r="AD7">
        <v>141</v>
      </c>
      <c r="AE7">
        <v>51</v>
      </c>
      <c r="AF7">
        <v>32</v>
      </c>
      <c r="AG7">
        <v>67</v>
      </c>
      <c r="AI7" s="15" t="s">
        <v>11</v>
      </c>
      <c r="AJ7" s="3" t="s">
        <v>24</v>
      </c>
      <c r="AK7" s="4" t="s">
        <v>30</v>
      </c>
      <c r="AL7" s="3" t="s">
        <v>27</v>
      </c>
      <c r="AM7" s="4" t="s">
        <v>30</v>
      </c>
      <c r="AN7" s="2" t="s">
        <v>23</v>
      </c>
      <c r="AO7" s="3" t="s">
        <v>24</v>
      </c>
      <c r="AP7" s="4" t="s">
        <v>26</v>
      </c>
      <c r="AQ7" s="4" t="s">
        <v>30</v>
      </c>
      <c r="AR7" s="3" t="s">
        <v>29</v>
      </c>
      <c r="AS7" s="9" t="s">
        <v>29</v>
      </c>
    </row>
    <row r="8" spans="2:45" ht="30" customHeight="1" x14ac:dyDescent="0.2">
      <c r="B8" t="s">
        <v>13</v>
      </c>
      <c r="C8">
        <v>0.47</v>
      </c>
      <c r="D8">
        <v>0.83899999999999997</v>
      </c>
      <c r="E8">
        <v>639</v>
      </c>
      <c r="F8">
        <v>6097</v>
      </c>
      <c r="G8">
        <v>1954</v>
      </c>
      <c r="H8">
        <v>1456</v>
      </c>
      <c r="I8">
        <v>345</v>
      </c>
      <c r="J8">
        <v>221</v>
      </c>
      <c r="K8">
        <v>732</v>
      </c>
      <c r="M8" t="s">
        <v>13</v>
      </c>
      <c r="N8">
        <v>0.46700000000000003</v>
      </c>
      <c r="O8">
        <v>0.84099999999999997</v>
      </c>
      <c r="P8">
        <v>676</v>
      </c>
      <c r="Q8">
        <v>6495</v>
      </c>
      <c r="R8">
        <v>2082</v>
      </c>
      <c r="S8">
        <v>1565</v>
      </c>
      <c r="T8">
        <v>371</v>
      </c>
      <c r="U8">
        <v>238</v>
      </c>
      <c r="V8">
        <v>774</v>
      </c>
      <c r="X8" t="s">
        <v>13</v>
      </c>
      <c r="Y8">
        <f>139/326</f>
        <v>0.42638036809815949</v>
      </c>
      <c r="Z8">
        <f>83/96</f>
        <v>0.86458333333333337</v>
      </c>
      <c r="AA8">
        <v>37</v>
      </c>
      <c r="AB8">
        <v>398</v>
      </c>
      <c r="AC8">
        <v>128</v>
      </c>
      <c r="AD8">
        <v>109</v>
      </c>
      <c r="AE8">
        <v>26</v>
      </c>
      <c r="AF8">
        <v>17</v>
      </c>
      <c r="AG8">
        <v>42</v>
      </c>
      <c r="AI8" s="15" t="s">
        <v>13</v>
      </c>
      <c r="AJ8" s="4" t="s">
        <v>26</v>
      </c>
      <c r="AK8" s="4" t="s">
        <v>31</v>
      </c>
      <c r="AL8" s="3" t="s">
        <v>25</v>
      </c>
      <c r="AM8" s="4" t="s">
        <v>28</v>
      </c>
      <c r="AN8" s="4" t="s">
        <v>28</v>
      </c>
      <c r="AO8" s="2" t="s">
        <v>23</v>
      </c>
      <c r="AP8" s="4" t="s">
        <v>28</v>
      </c>
      <c r="AQ8" s="4" t="s">
        <v>28</v>
      </c>
      <c r="AR8" s="4" t="s">
        <v>28</v>
      </c>
      <c r="AS8" s="20" t="s">
        <v>28</v>
      </c>
    </row>
    <row r="9" spans="2:45" ht="30" customHeight="1" x14ac:dyDescent="0.2">
      <c r="B9" t="s">
        <v>17</v>
      </c>
      <c r="C9">
        <v>0.46500000000000002</v>
      </c>
      <c r="D9">
        <v>0.81100000000000005</v>
      </c>
      <c r="E9">
        <v>871</v>
      </c>
      <c r="F9">
        <v>7823</v>
      </c>
      <c r="G9">
        <v>2748</v>
      </c>
      <c r="H9">
        <v>1753</v>
      </c>
      <c r="I9">
        <v>446</v>
      </c>
      <c r="J9">
        <v>390</v>
      </c>
      <c r="K9">
        <v>1037</v>
      </c>
      <c r="M9" t="s">
        <v>16</v>
      </c>
      <c r="N9">
        <v>0.46700000000000003</v>
      </c>
      <c r="O9">
        <v>0.81</v>
      </c>
      <c r="P9">
        <v>874</v>
      </c>
      <c r="Q9">
        <v>7884</v>
      </c>
      <c r="R9">
        <v>2558</v>
      </c>
      <c r="S9">
        <v>1944</v>
      </c>
      <c r="T9">
        <v>560</v>
      </c>
      <c r="U9">
        <v>295</v>
      </c>
      <c r="V9">
        <v>984</v>
      </c>
      <c r="X9" t="s">
        <v>16</v>
      </c>
      <c r="Y9">
        <f>317/657</f>
        <v>0.48249619482496192</v>
      </c>
      <c r="Z9">
        <f>109/138</f>
        <v>0.78985507246376807</v>
      </c>
      <c r="AA9">
        <v>94</v>
      </c>
      <c r="AB9">
        <v>837</v>
      </c>
      <c r="AC9">
        <v>284</v>
      </c>
      <c r="AD9">
        <v>174</v>
      </c>
      <c r="AE9">
        <v>59</v>
      </c>
      <c r="AF9">
        <v>40</v>
      </c>
      <c r="AG9">
        <v>76</v>
      </c>
      <c r="AI9" s="15" t="s">
        <v>16</v>
      </c>
      <c r="AJ9" s="3" t="s">
        <v>27</v>
      </c>
      <c r="AK9" s="3" t="s">
        <v>24</v>
      </c>
      <c r="AL9" s="3" t="s">
        <v>27</v>
      </c>
      <c r="AM9" s="3" t="s">
        <v>24</v>
      </c>
      <c r="AN9" s="3" t="s">
        <v>25</v>
      </c>
      <c r="AO9" s="3" t="s">
        <v>24</v>
      </c>
      <c r="AP9" s="2" t="s">
        <v>23</v>
      </c>
      <c r="AQ9" s="3" t="s">
        <v>24</v>
      </c>
      <c r="AR9" s="3" t="s">
        <v>27</v>
      </c>
      <c r="AS9" s="9" t="s">
        <v>27</v>
      </c>
    </row>
    <row r="10" spans="2:45" ht="30" customHeight="1" x14ac:dyDescent="0.2">
      <c r="B10" t="s">
        <v>16</v>
      </c>
      <c r="C10">
        <v>0.46500000000000002</v>
      </c>
      <c r="D10">
        <v>0.81200000000000006</v>
      </c>
      <c r="E10">
        <v>780</v>
      </c>
      <c r="F10">
        <v>7047</v>
      </c>
      <c r="G10">
        <v>2274</v>
      </c>
      <c r="H10">
        <v>1770</v>
      </c>
      <c r="I10">
        <v>501</v>
      </c>
      <c r="J10">
        <v>255</v>
      </c>
      <c r="K10">
        <v>908</v>
      </c>
      <c r="M10" t="s">
        <v>17</v>
      </c>
      <c r="N10">
        <v>0.46500000000000002</v>
      </c>
      <c r="O10">
        <v>0.80500000000000005</v>
      </c>
      <c r="P10">
        <v>964</v>
      </c>
      <c r="Q10">
        <v>8599</v>
      </c>
      <c r="R10">
        <v>3028</v>
      </c>
      <c r="S10">
        <v>1929</v>
      </c>
      <c r="T10">
        <v>480</v>
      </c>
      <c r="U10">
        <v>431</v>
      </c>
      <c r="V10">
        <v>1149</v>
      </c>
      <c r="X10" t="s">
        <v>17</v>
      </c>
      <c r="Y10">
        <f>290/615</f>
        <v>0.47154471544715448</v>
      </c>
      <c r="Z10">
        <f>103/139</f>
        <v>0.74100719424460426</v>
      </c>
      <c r="AA10">
        <v>93</v>
      </c>
      <c r="AB10">
        <v>776</v>
      </c>
      <c r="AC10">
        <v>280</v>
      </c>
      <c r="AD10">
        <v>176</v>
      </c>
      <c r="AE10">
        <v>34</v>
      </c>
      <c r="AF10">
        <v>41</v>
      </c>
      <c r="AG10">
        <v>112</v>
      </c>
      <c r="AI10" s="15" t="s">
        <v>17</v>
      </c>
      <c r="AJ10" s="3" t="s">
        <v>27</v>
      </c>
      <c r="AK10" s="4" t="s">
        <v>26</v>
      </c>
      <c r="AL10" s="3" t="s">
        <v>24</v>
      </c>
      <c r="AM10" s="4" t="s">
        <v>28</v>
      </c>
      <c r="AN10" s="3" t="s">
        <v>29</v>
      </c>
      <c r="AO10" s="3" t="s">
        <v>24</v>
      </c>
      <c r="AP10" s="4" t="s">
        <v>28</v>
      </c>
      <c r="AQ10" s="2" t="s">
        <v>23</v>
      </c>
      <c r="AR10" s="3" t="s">
        <v>25</v>
      </c>
      <c r="AS10" s="9" t="s">
        <v>29</v>
      </c>
    </row>
    <row r="11" spans="2:45" ht="30" customHeight="1" x14ac:dyDescent="0.2">
      <c r="B11" t="s">
        <v>14</v>
      </c>
      <c r="C11">
        <v>0.45800000000000002</v>
      </c>
      <c r="D11">
        <v>0.80600000000000005</v>
      </c>
      <c r="E11">
        <v>955</v>
      </c>
      <c r="F11">
        <v>7390</v>
      </c>
      <c r="G11">
        <v>2818</v>
      </c>
      <c r="H11">
        <v>1692</v>
      </c>
      <c r="I11">
        <v>456</v>
      </c>
      <c r="J11">
        <v>262</v>
      </c>
      <c r="K11">
        <v>842</v>
      </c>
      <c r="M11" t="s">
        <v>14</v>
      </c>
      <c r="N11">
        <v>0.45900000000000002</v>
      </c>
      <c r="O11">
        <v>0.80500000000000005</v>
      </c>
      <c r="P11">
        <v>1036</v>
      </c>
      <c r="Q11">
        <v>8038</v>
      </c>
      <c r="R11">
        <v>3095</v>
      </c>
      <c r="S11">
        <v>1845</v>
      </c>
      <c r="T11">
        <v>486</v>
      </c>
      <c r="U11">
        <v>290</v>
      </c>
      <c r="V11">
        <v>926</v>
      </c>
      <c r="X11" t="s">
        <v>14</v>
      </c>
      <c r="Y11">
        <f>227/481</f>
        <v>0.47193347193347196</v>
      </c>
      <c r="Z11">
        <f>113/143</f>
        <v>0.79020979020979021</v>
      </c>
      <c r="AA11">
        <v>81</v>
      </c>
      <c r="AB11">
        <v>648</v>
      </c>
      <c r="AC11">
        <v>277</v>
      </c>
      <c r="AD11">
        <v>153</v>
      </c>
      <c r="AE11">
        <v>30</v>
      </c>
      <c r="AF11">
        <v>28</v>
      </c>
      <c r="AG11">
        <v>84</v>
      </c>
      <c r="AI11" s="15" t="s">
        <v>14</v>
      </c>
      <c r="AJ11" s="3" t="s">
        <v>27</v>
      </c>
      <c r="AK11" s="4" t="s">
        <v>30</v>
      </c>
      <c r="AL11" s="3" t="s">
        <v>27</v>
      </c>
      <c r="AM11" s="4" t="s">
        <v>26</v>
      </c>
      <c r="AN11" s="4" t="s">
        <v>30</v>
      </c>
      <c r="AO11" s="3" t="s">
        <v>24</v>
      </c>
      <c r="AP11" s="4" t="s">
        <v>31</v>
      </c>
      <c r="AQ11" s="4" t="s">
        <v>26</v>
      </c>
      <c r="AR11" s="2" t="s">
        <v>23</v>
      </c>
      <c r="AS11" s="9" t="s">
        <v>29</v>
      </c>
    </row>
    <row r="12" spans="2:45" ht="30" customHeight="1" thickBot="1" x14ac:dyDescent="0.25">
      <c r="B12" t="s">
        <v>18</v>
      </c>
      <c r="C12">
        <v>0.45600000000000002</v>
      </c>
      <c r="D12">
        <v>0.76700000000000002</v>
      </c>
      <c r="E12">
        <v>785</v>
      </c>
      <c r="F12">
        <v>6191</v>
      </c>
      <c r="G12">
        <v>2367</v>
      </c>
      <c r="H12">
        <v>1363</v>
      </c>
      <c r="I12">
        <v>464</v>
      </c>
      <c r="J12">
        <v>317</v>
      </c>
      <c r="K12">
        <v>750</v>
      </c>
      <c r="M12" t="s">
        <v>18</v>
      </c>
      <c r="N12">
        <v>0.45700000000000002</v>
      </c>
      <c r="O12">
        <v>0.76900000000000002</v>
      </c>
      <c r="P12">
        <v>887</v>
      </c>
      <c r="Q12">
        <v>6884</v>
      </c>
      <c r="R12">
        <v>2583</v>
      </c>
      <c r="S12">
        <v>1512</v>
      </c>
      <c r="T12">
        <v>513</v>
      </c>
      <c r="U12">
        <v>340</v>
      </c>
      <c r="V12">
        <v>831</v>
      </c>
      <c r="X12" t="s">
        <v>18</v>
      </c>
      <c r="Y12">
        <f>249/534</f>
        <v>0.46629213483146065</v>
      </c>
      <c r="Z12">
        <f>93/118</f>
        <v>0.78813559322033899</v>
      </c>
      <c r="AA12">
        <v>102</v>
      </c>
      <c r="AB12">
        <v>693</v>
      </c>
      <c r="AC12">
        <v>216</v>
      </c>
      <c r="AD12">
        <v>149</v>
      </c>
      <c r="AE12">
        <v>49</v>
      </c>
      <c r="AF12">
        <v>23</v>
      </c>
      <c r="AG12">
        <v>81</v>
      </c>
      <c r="AI12" s="16" t="s">
        <v>18</v>
      </c>
      <c r="AJ12" s="18" t="s">
        <v>24</v>
      </c>
      <c r="AK12" s="11" t="s">
        <v>26</v>
      </c>
      <c r="AL12" s="18" t="s">
        <v>27</v>
      </c>
      <c r="AM12" s="11" t="s">
        <v>30</v>
      </c>
      <c r="AN12" s="11" t="s">
        <v>30</v>
      </c>
      <c r="AO12" s="18" t="s">
        <v>24</v>
      </c>
      <c r="AP12" s="11" t="s">
        <v>31</v>
      </c>
      <c r="AQ12" s="11" t="s">
        <v>30</v>
      </c>
      <c r="AR12" s="11" t="s">
        <v>30</v>
      </c>
      <c r="AS12" s="12" t="s">
        <v>23</v>
      </c>
    </row>
  </sheetData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EF9DF-8603-1D41-A522-72B7834D715E}">
  <sheetPr codeName="Sheet12"/>
  <dimension ref="B1:AS14"/>
  <sheetViews>
    <sheetView topLeftCell="O1" zoomScale="109" workbookViewId="0">
      <selection activeCell="W16" sqref="W16"/>
    </sheetView>
  </sheetViews>
  <sheetFormatPr baseColWidth="10" defaultRowHeight="16" x14ac:dyDescent="0.2"/>
  <sheetData>
    <row r="1" spans="2:45" ht="17" customHeight="1" thickBot="1" x14ac:dyDescent="0.25">
      <c r="B1" t="s">
        <v>20</v>
      </c>
      <c r="N1" t="s">
        <v>22</v>
      </c>
      <c r="Y1" t="s">
        <v>21</v>
      </c>
    </row>
    <row r="2" spans="2:45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51</v>
      </c>
      <c r="AJ2" s="6" t="s">
        <v>15</v>
      </c>
      <c r="AK2" s="6" t="s">
        <v>19</v>
      </c>
      <c r="AL2" s="6" t="s">
        <v>12</v>
      </c>
      <c r="AM2" s="6" t="s">
        <v>10</v>
      </c>
      <c r="AN2" s="6" t="s">
        <v>11</v>
      </c>
      <c r="AO2" s="6" t="s">
        <v>16</v>
      </c>
      <c r="AP2" s="6" t="s">
        <v>13</v>
      </c>
      <c r="AQ2" s="6" t="s">
        <v>17</v>
      </c>
      <c r="AR2" s="6" t="s">
        <v>14</v>
      </c>
      <c r="AS2" s="7" t="s">
        <v>18</v>
      </c>
    </row>
    <row r="3" spans="2:45" ht="30" customHeight="1" x14ac:dyDescent="0.2">
      <c r="B3" t="s">
        <v>15</v>
      </c>
      <c r="C3">
        <v>0.48799999999999999</v>
      </c>
      <c r="D3">
        <v>0.78700000000000003</v>
      </c>
      <c r="E3">
        <v>788</v>
      </c>
      <c r="F3">
        <v>7485</v>
      </c>
      <c r="G3">
        <v>3040</v>
      </c>
      <c r="H3">
        <v>1536</v>
      </c>
      <c r="I3">
        <v>443</v>
      </c>
      <c r="J3">
        <v>304</v>
      </c>
      <c r="K3">
        <v>825</v>
      </c>
      <c r="M3" t="s">
        <v>15</v>
      </c>
      <c r="N3">
        <v>0.49099999999999999</v>
      </c>
      <c r="O3">
        <v>0.78500000000000003</v>
      </c>
      <c r="P3">
        <v>839</v>
      </c>
      <c r="Q3">
        <v>8114</v>
      </c>
      <c r="R3">
        <v>3316</v>
      </c>
      <c r="S3">
        <v>1656</v>
      </c>
      <c r="T3">
        <v>485</v>
      </c>
      <c r="U3">
        <v>330</v>
      </c>
      <c r="V3">
        <v>871</v>
      </c>
      <c r="X3" t="s">
        <v>15</v>
      </c>
      <c r="Y3">
        <f>244/454</f>
        <v>0.5374449339207048</v>
      </c>
      <c r="Z3">
        <f>90/118</f>
        <v>0.76271186440677963</v>
      </c>
      <c r="AA3">
        <v>51</v>
      </c>
      <c r="AB3">
        <v>629</v>
      </c>
      <c r="AC3">
        <v>276</v>
      </c>
      <c r="AD3">
        <v>120</v>
      </c>
      <c r="AE3">
        <v>42</v>
      </c>
      <c r="AF3">
        <v>26</v>
      </c>
      <c r="AG3">
        <v>46</v>
      </c>
      <c r="AI3" s="15" t="s">
        <v>15</v>
      </c>
      <c r="AJ3" s="2" t="s">
        <v>23</v>
      </c>
      <c r="AK3" s="4" t="s">
        <v>30</v>
      </c>
      <c r="AL3" s="3" t="s">
        <v>24</v>
      </c>
      <c r="AM3" s="4" t="s">
        <v>30</v>
      </c>
      <c r="AN3" s="4" t="s">
        <v>26</v>
      </c>
      <c r="AO3" s="4" t="s">
        <v>26</v>
      </c>
      <c r="AP3" s="3" t="s">
        <v>24</v>
      </c>
      <c r="AQ3" s="4" t="s">
        <v>26</v>
      </c>
      <c r="AR3" s="4" t="s">
        <v>26</v>
      </c>
      <c r="AS3" s="19" t="s">
        <v>35</v>
      </c>
    </row>
    <row r="4" spans="2:45" ht="30" customHeight="1" x14ac:dyDescent="0.2">
      <c r="B4" t="s">
        <v>19</v>
      </c>
      <c r="C4">
        <v>0.48299999999999998</v>
      </c>
      <c r="D4">
        <v>0.83199999999999996</v>
      </c>
      <c r="E4">
        <v>739</v>
      </c>
      <c r="F4">
        <v>7396</v>
      </c>
      <c r="G4">
        <v>2396</v>
      </c>
      <c r="H4">
        <v>2048</v>
      </c>
      <c r="I4">
        <v>464</v>
      </c>
      <c r="J4">
        <v>253</v>
      </c>
      <c r="K4">
        <v>829</v>
      </c>
      <c r="M4" t="s">
        <v>19</v>
      </c>
      <c r="N4">
        <v>0.48399999999999999</v>
      </c>
      <c r="O4">
        <v>0.82899999999999996</v>
      </c>
      <c r="P4">
        <v>802</v>
      </c>
      <c r="Q4">
        <v>8108</v>
      </c>
      <c r="R4">
        <v>2639</v>
      </c>
      <c r="S4">
        <v>2227</v>
      </c>
      <c r="T4">
        <v>507</v>
      </c>
      <c r="U4">
        <v>278</v>
      </c>
      <c r="V4">
        <v>902</v>
      </c>
      <c r="X4" t="s">
        <v>19</v>
      </c>
      <c r="Y4">
        <f>258/521</f>
        <v>0.49520153550863721</v>
      </c>
      <c r="Z4">
        <f>133/166</f>
        <v>0.8012048192771084</v>
      </c>
      <c r="AA4">
        <v>63</v>
      </c>
      <c r="AB4">
        <v>712</v>
      </c>
      <c r="AC4">
        <v>243</v>
      </c>
      <c r="AD4">
        <v>179</v>
      </c>
      <c r="AE4">
        <v>43</v>
      </c>
      <c r="AF4">
        <v>25</v>
      </c>
      <c r="AG4">
        <v>73</v>
      </c>
      <c r="AI4" s="15" t="s">
        <v>19</v>
      </c>
      <c r="AJ4" s="3" t="s">
        <v>29</v>
      </c>
      <c r="AK4" s="2" t="s">
        <v>23</v>
      </c>
      <c r="AL4" s="3" t="s">
        <v>27</v>
      </c>
      <c r="AM4" s="4" t="s">
        <v>30</v>
      </c>
      <c r="AN4" s="4" t="s">
        <v>30</v>
      </c>
      <c r="AO4" s="3" t="s">
        <v>29</v>
      </c>
      <c r="AP4" s="3" t="s">
        <v>24</v>
      </c>
      <c r="AQ4" s="3" t="s">
        <v>34</v>
      </c>
      <c r="AR4" s="4" t="s">
        <v>30</v>
      </c>
      <c r="AS4" s="9" t="s">
        <v>29</v>
      </c>
    </row>
    <row r="5" spans="2:45" ht="30" customHeight="1" x14ac:dyDescent="0.2">
      <c r="B5" t="s">
        <v>12</v>
      </c>
      <c r="C5">
        <v>0.48099999999999998</v>
      </c>
      <c r="D5">
        <v>0.77300000000000002</v>
      </c>
      <c r="E5">
        <v>741</v>
      </c>
      <c r="F5">
        <v>7399</v>
      </c>
      <c r="G5">
        <v>2509</v>
      </c>
      <c r="H5">
        <v>1759</v>
      </c>
      <c r="I5">
        <v>405</v>
      </c>
      <c r="J5">
        <v>227</v>
      </c>
      <c r="K5">
        <v>929</v>
      </c>
      <c r="M5" t="s">
        <v>12</v>
      </c>
      <c r="N5">
        <v>0.48099999999999998</v>
      </c>
      <c r="O5">
        <v>0.77400000000000002</v>
      </c>
      <c r="P5">
        <v>768</v>
      </c>
      <c r="Q5">
        <v>7710</v>
      </c>
      <c r="R5">
        <v>2637</v>
      </c>
      <c r="S5">
        <v>1842</v>
      </c>
      <c r="T5">
        <v>428</v>
      </c>
      <c r="U5">
        <v>239</v>
      </c>
      <c r="V5">
        <v>968</v>
      </c>
      <c r="X5" t="s">
        <v>12</v>
      </c>
      <c r="Y5">
        <f>108/225</f>
        <v>0.48</v>
      </c>
      <c r="Z5">
        <f>68/86</f>
        <v>0.79069767441860461</v>
      </c>
      <c r="AA5">
        <v>27</v>
      </c>
      <c r="AB5">
        <v>311</v>
      </c>
      <c r="AC5">
        <v>128</v>
      </c>
      <c r="AD5">
        <v>83</v>
      </c>
      <c r="AE5">
        <v>23</v>
      </c>
      <c r="AF5">
        <v>12</v>
      </c>
      <c r="AG5">
        <v>39</v>
      </c>
      <c r="AI5" s="15" t="s">
        <v>12</v>
      </c>
      <c r="AJ5" s="4" t="s">
        <v>28</v>
      </c>
      <c r="AK5" s="4" t="s">
        <v>31</v>
      </c>
      <c r="AL5" s="2" t="s">
        <v>23</v>
      </c>
      <c r="AM5" s="4" t="s">
        <v>31</v>
      </c>
      <c r="AN5" s="4" t="s">
        <v>28</v>
      </c>
      <c r="AO5" s="4" t="s">
        <v>28</v>
      </c>
      <c r="AP5" s="3" t="s">
        <v>24</v>
      </c>
      <c r="AQ5" s="4" t="s">
        <v>26</v>
      </c>
      <c r="AR5" s="4" t="s">
        <v>28</v>
      </c>
      <c r="AS5" s="20" t="s">
        <v>28</v>
      </c>
    </row>
    <row r="6" spans="2:45" ht="30" customHeight="1" x14ac:dyDescent="0.2">
      <c r="B6" t="s">
        <v>10</v>
      </c>
      <c r="C6">
        <v>0.47799999999999998</v>
      </c>
      <c r="D6">
        <v>0.81</v>
      </c>
      <c r="E6">
        <v>848</v>
      </c>
      <c r="F6">
        <v>8050</v>
      </c>
      <c r="G6">
        <v>3032</v>
      </c>
      <c r="H6">
        <v>1876</v>
      </c>
      <c r="I6">
        <v>575</v>
      </c>
      <c r="J6">
        <v>367</v>
      </c>
      <c r="K6">
        <v>1086</v>
      </c>
      <c r="M6" t="s">
        <v>10</v>
      </c>
      <c r="N6">
        <v>0.48</v>
      </c>
      <c r="O6">
        <v>0.81100000000000005</v>
      </c>
      <c r="P6">
        <v>920</v>
      </c>
      <c r="Q6">
        <v>8794</v>
      </c>
      <c r="R6">
        <v>3266</v>
      </c>
      <c r="S6">
        <v>2046</v>
      </c>
      <c r="T6">
        <v>620</v>
      </c>
      <c r="U6">
        <v>386</v>
      </c>
      <c r="V6">
        <v>1161</v>
      </c>
      <c r="X6" t="s">
        <v>10</v>
      </c>
      <c r="Y6">
        <f>274/547</f>
        <v>0.5009140767824497</v>
      </c>
      <c r="Z6">
        <f>124/151</f>
        <v>0.82119205298013243</v>
      </c>
      <c r="AA6">
        <v>72</v>
      </c>
      <c r="AB6">
        <v>744</v>
      </c>
      <c r="AC6">
        <v>234</v>
      </c>
      <c r="AD6">
        <v>170</v>
      </c>
      <c r="AE6">
        <v>45</v>
      </c>
      <c r="AF6">
        <v>19</v>
      </c>
      <c r="AG6">
        <v>75</v>
      </c>
      <c r="AI6" s="15" t="s">
        <v>10</v>
      </c>
      <c r="AJ6" s="3" t="s">
        <v>29</v>
      </c>
      <c r="AK6" s="3" t="s">
        <v>29</v>
      </c>
      <c r="AL6" s="3" t="s">
        <v>27</v>
      </c>
      <c r="AM6" s="2" t="s">
        <v>23</v>
      </c>
      <c r="AN6" s="4" t="s">
        <v>30</v>
      </c>
      <c r="AO6" s="3" t="s">
        <v>29</v>
      </c>
      <c r="AP6" s="3" t="s">
        <v>27</v>
      </c>
      <c r="AQ6" s="3" t="s">
        <v>24</v>
      </c>
      <c r="AR6" s="4" t="s">
        <v>26</v>
      </c>
      <c r="AS6" s="9" t="s">
        <v>25</v>
      </c>
    </row>
    <row r="7" spans="2:45" ht="30" customHeight="1" x14ac:dyDescent="0.2">
      <c r="B7" t="s">
        <v>11</v>
      </c>
      <c r="C7">
        <v>0.47599999999999998</v>
      </c>
      <c r="D7">
        <v>0.73899999999999999</v>
      </c>
      <c r="E7">
        <v>823</v>
      </c>
      <c r="F7">
        <v>8475</v>
      </c>
      <c r="G7">
        <v>2967</v>
      </c>
      <c r="H7">
        <v>1826</v>
      </c>
      <c r="I7">
        <v>508</v>
      </c>
      <c r="J7">
        <v>339</v>
      </c>
      <c r="K7">
        <v>1000</v>
      </c>
      <c r="M7" t="s">
        <v>11</v>
      </c>
      <c r="N7">
        <v>0.47699999999999998</v>
      </c>
      <c r="O7">
        <v>0.74099999999999999</v>
      </c>
      <c r="P7">
        <v>904</v>
      </c>
      <c r="Q7">
        <v>9282</v>
      </c>
      <c r="R7">
        <v>3309</v>
      </c>
      <c r="S7">
        <v>2006</v>
      </c>
      <c r="T7">
        <v>549</v>
      </c>
      <c r="U7">
        <v>373</v>
      </c>
      <c r="V7">
        <v>1101</v>
      </c>
      <c r="X7" t="s">
        <v>11</v>
      </c>
      <c r="Y7">
        <f>295/611</f>
        <v>0.48281505728314239</v>
      </c>
      <c r="Z7">
        <f>136/178</f>
        <v>0.7640449438202247</v>
      </c>
      <c r="AA7">
        <v>81</v>
      </c>
      <c r="AB7">
        <v>807</v>
      </c>
      <c r="AC7">
        <v>342</v>
      </c>
      <c r="AD7">
        <v>180</v>
      </c>
      <c r="AE7">
        <v>41</v>
      </c>
      <c r="AF7">
        <v>34</v>
      </c>
      <c r="AG7">
        <v>101</v>
      </c>
      <c r="AI7" s="15" t="s">
        <v>11</v>
      </c>
      <c r="AJ7" s="3" t="s">
        <v>25</v>
      </c>
      <c r="AK7" s="3" t="s">
        <v>29</v>
      </c>
      <c r="AL7" s="3" t="s">
        <v>24</v>
      </c>
      <c r="AM7" s="3" t="s">
        <v>29</v>
      </c>
      <c r="AN7" s="2" t="s">
        <v>23</v>
      </c>
      <c r="AO7" s="4" t="s">
        <v>30</v>
      </c>
      <c r="AP7" s="3" t="s">
        <v>24</v>
      </c>
      <c r="AQ7" s="3" t="s">
        <v>29</v>
      </c>
      <c r="AR7" s="4" t="s">
        <v>28</v>
      </c>
      <c r="AS7" s="9" t="s">
        <v>49</v>
      </c>
    </row>
    <row r="8" spans="2:45" ht="30" customHeight="1" x14ac:dyDescent="0.2">
      <c r="B8" t="s">
        <v>13</v>
      </c>
      <c r="C8">
        <v>0.46700000000000003</v>
      </c>
      <c r="D8">
        <v>0.84099999999999997</v>
      </c>
      <c r="E8">
        <v>676</v>
      </c>
      <c r="F8">
        <v>6495</v>
      </c>
      <c r="G8">
        <v>2082</v>
      </c>
      <c r="H8">
        <v>1565</v>
      </c>
      <c r="I8">
        <v>371</v>
      </c>
      <c r="J8">
        <v>238</v>
      </c>
      <c r="K8">
        <v>774</v>
      </c>
      <c r="M8" t="s">
        <v>16</v>
      </c>
      <c r="N8">
        <v>0.46899999999999997</v>
      </c>
      <c r="O8">
        <v>0.80700000000000005</v>
      </c>
      <c r="P8">
        <v>949</v>
      </c>
      <c r="Q8">
        <v>8557</v>
      </c>
      <c r="R8">
        <v>2763</v>
      </c>
      <c r="S8">
        <v>2143</v>
      </c>
      <c r="T8">
        <v>625</v>
      </c>
      <c r="U8">
        <v>325</v>
      </c>
      <c r="V8">
        <v>1067</v>
      </c>
      <c r="X8" t="s">
        <v>16</v>
      </c>
      <c r="Y8">
        <f>254/515</f>
        <v>0.49320388349514566</v>
      </c>
      <c r="Z8">
        <f>90/117</f>
        <v>0.76923076923076927</v>
      </c>
      <c r="AA8">
        <v>75</v>
      </c>
      <c r="AB8">
        <v>673</v>
      </c>
      <c r="AC8">
        <v>205</v>
      </c>
      <c r="AD8">
        <v>199</v>
      </c>
      <c r="AE8">
        <v>65</v>
      </c>
      <c r="AF8">
        <v>30</v>
      </c>
      <c r="AG8">
        <v>83</v>
      </c>
      <c r="AI8" s="15" t="s">
        <v>16</v>
      </c>
      <c r="AJ8" s="3" t="s">
        <v>25</v>
      </c>
      <c r="AK8" s="4" t="s">
        <v>30</v>
      </c>
      <c r="AL8" s="3" t="s">
        <v>24</v>
      </c>
      <c r="AM8" s="4" t="s">
        <v>30</v>
      </c>
      <c r="AN8" s="3" t="s">
        <v>29</v>
      </c>
      <c r="AO8" s="2" t="s">
        <v>23</v>
      </c>
      <c r="AP8" s="3" t="s">
        <v>24</v>
      </c>
      <c r="AQ8" s="4" t="s">
        <v>30</v>
      </c>
      <c r="AR8" s="3" t="s">
        <v>29</v>
      </c>
      <c r="AS8" s="9" t="s">
        <v>29</v>
      </c>
    </row>
    <row r="9" spans="2:45" ht="30" customHeight="1" x14ac:dyDescent="0.2">
      <c r="B9" t="s">
        <v>16</v>
      </c>
      <c r="C9">
        <v>0.46700000000000003</v>
      </c>
      <c r="D9">
        <v>0.81</v>
      </c>
      <c r="E9">
        <v>874</v>
      </c>
      <c r="F9">
        <v>7884</v>
      </c>
      <c r="G9">
        <v>2558</v>
      </c>
      <c r="H9">
        <v>1944</v>
      </c>
      <c r="I9">
        <v>560</v>
      </c>
      <c r="J9">
        <v>295</v>
      </c>
      <c r="K9">
        <v>984</v>
      </c>
      <c r="M9" t="s">
        <v>13</v>
      </c>
      <c r="N9">
        <v>0.46700000000000003</v>
      </c>
      <c r="O9">
        <v>0.84</v>
      </c>
      <c r="P9">
        <v>701</v>
      </c>
      <c r="Q9">
        <v>6742</v>
      </c>
      <c r="R9">
        <v>2166</v>
      </c>
      <c r="S9">
        <v>1599</v>
      </c>
      <c r="T9">
        <v>381</v>
      </c>
      <c r="U9">
        <v>247</v>
      </c>
      <c r="V9">
        <v>798</v>
      </c>
      <c r="X9" t="s">
        <v>13</v>
      </c>
      <c r="Y9">
        <f>88/184</f>
        <v>0.47826086956521741</v>
      </c>
      <c r="Z9">
        <f>46/57</f>
        <v>0.80701754385964908</v>
      </c>
      <c r="AA9">
        <v>25</v>
      </c>
      <c r="AB9">
        <v>247</v>
      </c>
      <c r="AC9">
        <v>84</v>
      </c>
      <c r="AD9">
        <v>34</v>
      </c>
      <c r="AE9">
        <v>10</v>
      </c>
      <c r="AF9">
        <v>9</v>
      </c>
      <c r="AG9">
        <v>24</v>
      </c>
      <c r="AI9" s="15" t="s">
        <v>13</v>
      </c>
      <c r="AJ9" s="4" t="s">
        <v>28</v>
      </c>
      <c r="AK9" s="4" t="s">
        <v>28</v>
      </c>
      <c r="AL9" s="4" t="s">
        <v>28</v>
      </c>
      <c r="AM9" s="4" t="s">
        <v>31</v>
      </c>
      <c r="AN9" s="4" t="s">
        <v>28</v>
      </c>
      <c r="AO9" s="4" t="s">
        <v>28</v>
      </c>
      <c r="AP9" s="2" t="s">
        <v>23</v>
      </c>
      <c r="AQ9" s="4" t="s">
        <v>26</v>
      </c>
      <c r="AR9" s="4" t="s">
        <v>28</v>
      </c>
      <c r="AS9" s="20" t="s">
        <v>28</v>
      </c>
    </row>
    <row r="10" spans="2:45" ht="30" customHeight="1" x14ac:dyDescent="0.2">
      <c r="B10" t="s">
        <v>17</v>
      </c>
      <c r="C10">
        <v>0.46500000000000002</v>
      </c>
      <c r="D10">
        <v>0.80500000000000005</v>
      </c>
      <c r="E10">
        <v>964</v>
      </c>
      <c r="F10">
        <v>8599</v>
      </c>
      <c r="G10">
        <v>3028</v>
      </c>
      <c r="H10">
        <v>1929</v>
      </c>
      <c r="I10">
        <v>480</v>
      </c>
      <c r="J10">
        <v>431</v>
      </c>
      <c r="K10">
        <v>1149</v>
      </c>
      <c r="M10" t="s">
        <v>17</v>
      </c>
      <c r="N10">
        <v>0.46500000000000002</v>
      </c>
      <c r="O10">
        <v>0.80300000000000005</v>
      </c>
      <c r="P10">
        <v>1048</v>
      </c>
      <c r="Q10">
        <v>9330</v>
      </c>
      <c r="R10">
        <v>3238</v>
      </c>
      <c r="S10">
        <v>2082</v>
      </c>
      <c r="T10">
        <v>523</v>
      </c>
      <c r="U10">
        <v>464</v>
      </c>
      <c r="V10">
        <v>1243</v>
      </c>
      <c r="X10" t="s">
        <v>17</v>
      </c>
      <c r="Y10">
        <f>272/586</f>
        <v>0.46416382252559729</v>
      </c>
      <c r="Z10">
        <f>103/133</f>
        <v>0.77443609022556392</v>
      </c>
      <c r="AA10">
        <v>84</v>
      </c>
      <c r="AB10">
        <v>731</v>
      </c>
      <c r="AC10">
        <v>210</v>
      </c>
      <c r="AD10">
        <v>153</v>
      </c>
      <c r="AE10">
        <v>43</v>
      </c>
      <c r="AF10">
        <v>33</v>
      </c>
      <c r="AG10">
        <v>94</v>
      </c>
      <c r="AI10" s="15" t="s">
        <v>17</v>
      </c>
      <c r="AJ10" s="3" t="s">
        <v>25</v>
      </c>
      <c r="AK10" s="4" t="s">
        <v>37</v>
      </c>
      <c r="AL10" s="3" t="s">
        <v>25</v>
      </c>
      <c r="AM10" s="4" t="s">
        <v>28</v>
      </c>
      <c r="AN10" s="4" t="s">
        <v>30</v>
      </c>
      <c r="AO10" s="3" t="s">
        <v>29</v>
      </c>
      <c r="AP10" s="3" t="s">
        <v>25</v>
      </c>
      <c r="AQ10" s="2" t="s">
        <v>23</v>
      </c>
      <c r="AR10" s="4" t="s">
        <v>28</v>
      </c>
      <c r="AS10" s="20" t="s">
        <v>30</v>
      </c>
    </row>
    <row r="11" spans="2:45" ht="30" customHeight="1" x14ac:dyDescent="0.2">
      <c r="B11" t="s">
        <v>14</v>
      </c>
      <c r="C11">
        <v>0.45900000000000002</v>
      </c>
      <c r="D11">
        <v>0.80500000000000005</v>
      </c>
      <c r="E11">
        <v>1036</v>
      </c>
      <c r="F11">
        <v>8038</v>
      </c>
      <c r="G11">
        <v>3095</v>
      </c>
      <c r="H11">
        <v>1845</v>
      </c>
      <c r="I11">
        <v>486</v>
      </c>
      <c r="J11">
        <v>290</v>
      </c>
      <c r="K11">
        <v>926</v>
      </c>
      <c r="M11" t="s">
        <v>14</v>
      </c>
      <c r="N11">
        <v>0.46200000000000002</v>
      </c>
      <c r="O11">
        <v>0.80200000000000005</v>
      </c>
      <c r="P11">
        <v>1146</v>
      </c>
      <c r="Q11">
        <v>8851</v>
      </c>
      <c r="R11">
        <v>3378</v>
      </c>
      <c r="S11">
        <v>2049</v>
      </c>
      <c r="T11">
        <v>539</v>
      </c>
      <c r="U11">
        <v>311</v>
      </c>
      <c r="V11">
        <v>1017</v>
      </c>
      <c r="X11" t="s">
        <v>14</v>
      </c>
      <c r="Y11">
        <f>294/599</f>
        <v>0.49081803005008345</v>
      </c>
      <c r="Z11">
        <f>115/150</f>
        <v>0.76666666666666672</v>
      </c>
      <c r="AA11">
        <v>110</v>
      </c>
      <c r="AB11">
        <v>813</v>
      </c>
      <c r="AC11">
        <v>283</v>
      </c>
      <c r="AD11">
        <v>204</v>
      </c>
      <c r="AE11">
        <v>53</v>
      </c>
      <c r="AF11">
        <v>21</v>
      </c>
      <c r="AG11">
        <v>91</v>
      </c>
      <c r="AI11" s="15" t="s">
        <v>14</v>
      </c>
      <c r="AJ11" s="3" t="s">
        <v>25</v>
      </c>
      <c r="AK11" s="3" t="s">
        <v>29</v>
      </c>
      <c r="AL11" s="3" t="s">
        <v>24</v>
      </c>
      <c r="AM11" s="3" t="s">
        <v>25</v>
      </c>
      <c r="AN11" s="3" t="s">
        <v>24</v>
      </c>
      <c r="AO11" s="4" t="s">
        <v>30</v>
      </c>
      <c r="AP11" s="3" t="s">
        <v>24</v>
      </c>
      <c r="AQ11" s="3" t="s">
        <v>24</v>
      </c>
      <c r="AR11" s="2" t="s">
        <v>23</v>
      </c>
      <c r="AS11" s="9" t="s">
        <v>24</v>
      </c>
    </row>
    <row r="12" spans="2:45" ht="30" customHeight="1" thickBot="1" x14ac:dyDescent="0.25">
      <c r="B12" t="s">
        <v>18</v>
      </c>
      <c r="C12">
        <v>0.45700000000000002</v>
      </c>
      <c r="D12">
        <v>0.76900000000000002</v>
      </c>
      <c r="E12">
        <v>887</v>
      </c>
      <c r="F12">
        <v>6884</v>
      </c>
      <c r="G12">
        <v>2583</v>
      </c>
      <c r="H12">
        <v>1512</v>
      </c>
      <c r="I12">
        <v>513</v>
      </c>
      <c r="J12">
        <v>340</v>
      </c>
      <c r="K12">
        <v>831</v>
      </c>
      <c r="M12" t="s">
        <v>18</v>
      </c>
      <c r="N12">
        <v>0.45700000000000002</v>
      </c>
      <c r="O12">
        <v>0.78</v>
      </c>
      <c r="P12">
        <v>986</v>
      </c>
      <c r="Q12">
        <v>7625</v>
      </c>
      <c r="R12">
        <v>2829</v>
      </c>
      <c r="S12">
        <v>1664</v>
      </c>
      <c r="T12">
        <v>545</v>
      </c>
      <c r="U12">
        <v>366</v>
      </c>
      <c r="V12">
        <v>911</v>
      </c>
      <c r="X12" t="s">
        <v>18</v>
      </c>
      <c r="Y12">
        <f>295/611</f>
        <v>0.48281505728314239</v>
      </c>
      <c r="Z12">
        <f>136/178</f>
        <v>0.7640449438202247</v>
      </c>
      <c r="AA12">
        <v>99</v>
      </c>
      <c r="AB12">
        <v>741</v>
      </c>
      <c r="AC12">
        <v>246</v>
      </c>
      <c r="AD12">
        <v>152</v>
      </c>
      <c r="AE12">
        <v>32</v>
      </c>
      <c r="AF12">
        <v>26</v>
      </c>
      <c r="AG12">
        <v>80</v>
      </c>
      <c r="AI12" s="16" t="s">
        <v>18</v>
      </c>
      <c r="AJ12" s="17" t="s">
        <v>35</v>
      </c>
      <c r="AK12" s="11" t="s">
        <v>30</v>
      </c>
      <c r="AL12" s="18" t="s">
        <v>24</v>
      </c>
      <c r="AM12" s="11" t="s">
        <v>26</v>
      </c>
      <c r="AN12" s="11" t="s">
        <v>50</v>
      </c>
      <c r="AO12" s="11" t="s">
        <v>30</v>
      </c>
      <c r="AP12" s="18" t="s">
        <v>24</v>
      </c>
      <c r="AQ12" s="18" t="s">
        <v>29</v>
      </c>
      <c r="AR12" s="11" t="s">
        <v>28</v>
      </c>
      <c r="AS12" s="12" t="s">
        <v>23</v>
      </c>
    </row>
    <row r="14" spans="2:45" x14ac:dyDescent="0.2">
      <c r="Y14" t="s">
        <v>52</v>
      </c>
    </row>
  </sheetData>
  <pageMargins left="0.7" right="0.7" top="0.75" bottom="0.75" header="0.3" footer="0.3"/>
  <pageSetup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BAFAE-A4E9-7448-A3BD-DEFBFEF7C3E2}">
  <sheetPr codeName="Sheet11"/>
  <dimension ref="B1:AG12"/>
  <sheetViews>
    <sheetView topLeftCell="Q1" workbookViewId="0">
      <selection activeCell="H19" sqref="H19"/>
    </sheetView>
  </sheetViews>
  <sheetFormatPr baseColWidth="10" defaultRowHeight="16" x14ac:dyDescent="0.2"/>
  <sheetData>
    <row r="1" spans="2:33" ht="17" customHeight="1" x14ac:dyDescent="0.2">
      <c r="B1" t="s">
        <v>20</v>
      </c>
      <c r="N1" t="s">
        <v>22</v>
      </c>
      <c r="Y1" t="s">
        <v>21</v>
      </c>
    </row>
    <row r="2" spans="2:33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</row>
    <row r="3" spans="2:33" ht="30" customHeight="1" x14ac:dyDescent="0.2">
      <c r="B3" t="s">
        <v>15</v>
      </c>
      <c r="C3">
        <v>0.49099999999999999</v>
      </c>
      <c r="D3">
        <v>0.78500000000000003</v>
      </c>
      <c r="E3">
        <v>839</v>
      </c>
      <c r="F3">
        <v>8114</v>
      </c>
      <c r="G3">
        <v>3316</v>
      </c>
      <c r="H3">
        <v>1656</v>
      </c>
      <c r="I3">
        <v>485</v>
      </c>
      <c r="J3">
        <v>330</v>
      </c>
      <c r="K3">
        <v>871</v>
      </c>
      <c r="M3" t="s">
        <v>15</v>
      </c>
      <c r="N3">
        <v>0.48899999999999999</v>
      </c>
      <c r="O3">
        <v>0.79</v>
      </c>
      <c r="P3">
        <v>954</v>
      </c>
      <c r="Q3">
        <v>9443</v>
      </c>
      <c r="R3">
        <v>3876</v>
      </c>
      <c r="S3">
        <v>1935</v>
      </c>
      <c r="T3">
        <v>553</v>
      </c>
      <c r="U3">
        <v>392</v>
      </c>
      <c r="V3">
        <v>1010</v>
      </c>
      <c r="X3" t="s">
        <v>15</v>
      </c>
      <c r="AA3">
        <v>115</v>
      </c>
      <c r="AB3">
        <v>1329</v>
      </c>
      <c r="AC3">
        <v>560</v>
      </c>
      <c r="AD3">
        <v>279</v>
      </c>
      <c r="AE3">
        <v>68</v>
      </c>
      <c r="AF3">
        <v>62</v>
      </c>
      <c r="AG3">
        <v>139</v>
      </c>
    </row>
    <row r="4" spans="2:33" ht="30" customHeight="1" x14ac:dyDescent="0.2">
      <c r="B4" t="s">
        <v>19</v>
      </c>
      <c r="C4">
        <v>0.48399999999999999</v>
      </c>
      <c r="D4">
        <v>0.82899999999999996</v>
      </c>
      <c r="E4">
        <v>802</v>
      </c>
      <c r="F4">
        <v>8108</v>
      </c>
      <c r="G4">
        <v>2639</v>
      </c>
      <c r="H4">
        <v>2227</v>
      </c>
      <c r="I4">
        <v>507</v>
      </c>
      <c r="J4">
        <v>278</v>
      </c>
      <c r="K4">
        <v>902</v>
      </c>
      <c r="M4" t="s">
        <v>19</v>
      </c>
      <c r="N4">
        <v>0.48799999999999999</v>
      </c>
      <c r="O4">
        <v>0.82499999999999996</v>
      </c>
      <c r="P4">
        <v>942</v>
      </c>
      <c r="Q4">
        <v>9363</v>
      </c>
      <c r="R4">
        <v>3007</v>
      </c>
      <c r="S4">
        <v>2537</v>
      </c>
      <c r="T4">
        <v>576</v>
      </c>
      <c r="U4">
        <v>302</v>
      </c>
      <c r="V4">
        <v>1030</v>
      </c>
      <c r="X4" t="s">
        <v>19</v>
      </c>
      <c r="AA4">
        <v>140</v>
      </c>
      <c r="AB4">
        <v>1255</v>
      </c>
      <c r="AC4">
        <v>368</v>
      </c>
      <c r="AD4">
        <v>310</v>
      </c>
      <c r="AE4">
        <v>69</v>
      </c>
      <c r="AF4">
        <v>24</v>
      </c>
      <c r="AG4">
        <v>128</v>
      </c>
    </row>
    <row r="5" spans="2:33" ht="30" customHeight="1" x14ac:dyDescent="0.2">
      <c r="B5" t="s">
        <v>12</v>
      </c>
      <c r="C5">
        <v>0.48099999999999998</v>
      </c>
      <c r="D5">
        <v>0.77400000000000002</v>
      </c>
      <c r="E5">
        <v>768</v>
      </c>
      <c r="F5">
        <v>7710</v>
      </c>
      <c r="G5">
        <v>2637</v>
      </c>
      <c r="H5">
        <v>1842</v>
      </c>
      <c r="I5">
        <v>428</v>
      </c>
      <c r="J5">
        <v>239</v>
      </c>
      <c r="K5">
        <v>968</v>
      </c>
      <c r="M5" t="s">
        <v>12</v>
      </c>
      <c r="N5">
        <v>0.48299999999999998</v>
      </c>
      <c r="O5">
        <v>0.77100000000000002</v>
      </c>
      <c r="P5">
        <v>886</v>
      </c>
      <c r="Q5">
        <v>8879</v>
      </c>
      <c r="R5">
        <v>3052</v>
      </c>
      <c r="S5">
        <v>2143</v>
      </c>
      <c r="T5">
        <v>500</v>
      </c>
      <c r="U5">
        <v>285</v>
      </c>
      <c r="V5">
        <v>1084</v>
      </c>
      <c r="X5" t="s">
        <v>12</v>
      </c>
      <c r="AA5">
        <v>118</v>
      </c>
      <c r="AB5">
        <v>1169</v>
      </c>
      <c r="AC5">
        <v>415</v>
      </c>
      <c r="AD5">
        <v>301</v>
      </c>
      <c r="AE5">
        <v>72</v>
      </c>
      <c r="AF5">
        <v>46</v>
      </c>
      <c r="AG5">
        <v>116</v>
      </c>
    </row>
    <row r="6" spans="2:33" ht="30" customHeight="1" x14ac:dyDescent="0.2">
      <c r="B6" t="s">
        <v>10</v>
      </c>
      <c r="C6">
        <v>0.48</v>
      </c>
      <c r="D6">
        <v>0.81100000000000005</v>
      </c>
      <c r="E6">
        <v>920</v>
      </c>
      <c r="F6">
        <v>8794</v>
      </c>
      <c r="G6">
        <v>3266</v>
      </c>
      <c r="H6">
        <v>2046</v>
      </c>
      <c r="I6">
        <v>620</v>
      </c>
      <c r="J6">
        <v>386</v>
      </c>
      <c r="K6">
        <v>1161</v>
      </c>
      <c r="M6" t="s">
        <v>10</v>
      </c>
      <c r="N6">
        <v>0.48099999999999998</v>
      </c>
      <c r="O6">
        <v>0.81100000000000005</v>
      </c>
      <c r="P6">
        <v>1043</v>
      </c>
      <c r="Q6">
        <v>10060</v>
      </c>
      <c r="R6">
        <v>3832</v>
      </c>
      <c r="S6">
        <v>2379</v>
      </c>
      <c r="T6">
        <v>717</v>
      </c>
      <c r="U6">
        <v>451</v>
      </c>
      <c r="V6">
        <v>1342</v>
      </c>
      <c r="X6" t="s">
        <v>10</v>
      </c>
      <c r="AA6">
        <v>123</v>
      </c>
      <c r="AB6">
        <v>1266</v>
      </c>
      <c r="AC6">
        <v>566</v>
      </c>
      <c r="AD6">
        <v>333</v>
      </c>
      <c r="AE6">
        <v>97</v>
      </c>
      <c r="AF6">
        <v>65</v>
      </c>
      <c r="AG6">
        <v>181</v>
      </c>
    </row>
    <row r="7" spans="2:33" ht="30" customHeight="1" x14ac:dyDescent="0.2">
      <c r="B7" t="s">
        <v>11</v>
      </c>
      <c r="C7">
        <v>0.47699999999999998</v>
      </c>
      <c r="D7">
        <v>0.74099999999999999</v>
      </c>
      <c r="E7">
        <v>904</v>
      </c>
      <c r="F7">
        <v>9282</v>
      </c>
      <c r="G7">
        <v>3309</v>
      </c>
      <c r="H7">
        <v>2006</v>
      </c>
      <c r="I7">
        <v>549</v>
      </c>
      <c r="J7">
        <v>373</v>
      </c>
      <c r="K7">
        <v>1101</v>
      </c>
      <c r="M7" t="s">
        <v>11</v>
      </c>
      <c r="N7">
        <v>0.47799999999999998</v>
      </c>
      <c r="O7">
        <v>0.73699999999999999</v>
      </c>
      <c r="P7">
        <v>1022</v>
      </c>
      <c r="Q7">
        <v>10561</v>
      </c>
      <c r="R7">
        <v>3763</v>
      </c>
      <c r="S7">
        <v>2291</v>
      </c>
      <c r="T7">
        <v>612</v>
      </c>
      <c r="U7">
        <v>412</v>
      </c>
      <c r="V7">
        <v>1222</v>
      </c>
      <c r="X7" t="s">
        <v>11</v>
      </c>
      <c r="AA7">
        <v>118</v>
      </c>
      <c r="AB7">
        <v>1279</v>
      </c>
      <c r="AC7">
        <v>454</v>
      </c>
      <c r="AD7">
        <v>285</v>
      </c>
      <c r="AE7">
        <v>63</v>
      </c>
      <c r="AF7">
        <v>39</v>
      </c>
      <c r="AG7">
        <v>121</v>
      </c>
    </row>
    <row r="8" spans="2:33" ht="30" customHeight="1" x14ac:dyDescent="0.2">
      <c r="B8" t="s">
        <v>16</v>
      </c>
      <c r="C8">
        <v>0.46899999999999997</v>
      </c>
      <c r="D8">
        <v>0.80700000000000005</v>
      </c>
      <c r="E8">
        <v>949</v>
      </c>
      <c r="F8">
        <v>8557</v>
      </c>
      <c r="G8">
        <v>2763</v>
      </c>
      <c r="H8">
        <v>2143</v>
      </c>
      <c r="I8">
        <v>625</v>
      </c>
      <c r="J8">
        <v>325</v>
      </c>
      <c r="K8">
        <v>1067</v>
      </c>
      <c r="M8" t="s">
        <v>16</v>
      </c>
      <c r="N8">
        <v>0.47199999999999998</v>
      </c>
      <c r="O8">
        <v>0.81</v>
      </c>
      <c r="P8">
        <v>1090</v>
      </c>
      <c r="Q8">
        <v>10046</v>
      </c>
      <c r="R8">
        <v>3202</v>
      </c>
      <c r="S8">
        <v>2522</v>
      </c>
      <c r="T8">
        <v>699</v>
      </c>
      <c r="U8">
        <v>372</v>
      </c>
      <c r="V8">
        <v>1226</v>
      </c>
      <c r="X8" t="s">
        <v>16</v>
      </c>
      <c r="AA8">
        <v>141</v>
      </c>
      <c r="AB8">
        <v>1489</v>
      </c>
      <c r="AC8">
        <v>439</v>
      </c>
      <c r="AD8">
        <v>379</v>
      </c>
      <c r="AE8">
        <v>74</v>
      </c>
      <c r="AF8">
        <v>47</v>
      </c>
      <c r="AG8">
        <v>159</v>
      </c>
    </row>
    <row r="9" spans="2:33" ht="30" customHeight="1" x14ac:dyDescent="0.2">
      <c r="B9" t="s">
        <v>13</v>
      </c>
      <c r="C9">
        <v>0.46700000000000003</v>
      </c>
      <c r="D9">
        <v>0.84</v>
      </c>
      <c r="E9">
        <v>701</v>
      </c>
      <c r="F9">
        <v>6742</v>
      </c>
      <c r="G9">
        <v>2166</v>
      </c>
      <c r="H9">
        <v>1599</v>
      </c>
      <c r="I9">
        <v>381</v>
      </c>
      <c r="J9">
        <v>247</v>
      </c>
      <c r="K9">
        <v>798</v>
      </c>
      <c r="M9" t="s">
        <v>17</v>
      </c>
      <c r="N9">
        <v>0.47</v>
      </c>
      <c r="O9">
        <v>0.8</v>
      </c>
      <c r="P9">
        <v>1209</v>
      </c>
      <c r="Q9">
        <v>10824</v>
      </c>
      <c r="R9">
        <v>3708</v>
      </c>
      <c r="S9">
        <v>2387</v>
      </c>
      <c r="T9">
        <v>591</v>
      </c>
      <c r="U9">
        <v>517</v>
      </c>
      <c r="V9">
        <v>1419</v>
      </c>
      <c r="X9" t="s">
        <v>17</v>
      </c>
      <c r="AA9">
        <v>161</v>
      </c>
      <c r="AB9">
        <v>1494</v>
      </c>
      <c r="AC9">
        <v>470</v>
      </c>
      <c r="AD9">
        <v>305</v>
      </c>
      <c r="AE9">
        <v>68</v>
      </c>
      <c r="AF9">
        <v>53</v>
      </c>
      <c r="AG9">
        <v>176</v>
      </c>
    </row>
    <row r="10" spans="2:33" ht="30" customHeight="1" x14ac:dyDescent="0.2">
      <c r="B10" t="s">
        <v>17</v>
      </c>
      <c r="C10">
        <v>0.46500000000000002</v>
      </c>
      <c r="D10">
        <v>0.80300000000000005</v>
      </c>
      <c r="E10">
        <v>1048</v>
      </c>
      <c r="F10">
        <v>9330</v>
      </c>
      <c r="G10">
        <v>3238</v>
      </c>
      <c r="H10">
        <v>2082</v>
      </c>
      <c r="I10">
        <v>523</v>
      </c>
      <c r="J10">
        <v>464</v>
      </c>
      <c r="K10">
        <v>1243</v>
      </c>
      <c r="M10" t="s">
        <v>13</v>
      </c>
      <c r="N10">
        <v>0.47</v>
      </c>
      <c r="O10">
        <v>0.83699999999999997</v>
      </c>
      <c r="P10">
        <v>782</v>
      </c>
      <c r="Q10">
        <v>7630</v>
      </c>
      <c r="R10">
        <v>2460</v>
      </c>
      <c r="S10">
        <v>1818</v>
      </c>
      <c r="T10">
        <v>409</v>
      </c>
      <c r="U10">
        <v>291</v>
      </c>
      <c r="V10">
        <v>895</v>
      </c>
      <c r="X10" t="s">
        <v>13</v>
      </c>
      <c r="AA10">
        <v>81</v>
      </c>
      <c r="AB10">
        <v>888</v>
      </c>
      <c r="AC10">
        <v>294</v>
      </c>
      <c r="AD10">
        <v>219</v>
      </c>
      <c r="AE10">
        <v>28</v>
      </c>
      <c r="AF10">
        <v>44</v>
      </c>
      <c r="AG10">
        <v>97</v>
      </c>
    </row>
    <row r="11" spans="2:33" ht="30" customHeight="1" x14ac:dyDescent="0.2">
      <c r="B11" t="s">
        <v>14</v>
      </c>
      <c r="C11">
        <v>0.46200000000000002</v>
      </c>
      <c r="D11">
        <v>0.80200000000000005</v>
      </c>
      <c r="E11">
        <v>1146</v>
      </c>
      <c r="F11">
        <v>8851</v>
      </c>
      <c r="G11">
        <v>3378</v>
      </c>
      <c r="H11">
        <v>2049</v>
      </c>
      <c r="I11">
        <v>539</v>
      </c>
      <c r="J11">
        <v>311</v>
      </c>
      <c r="K11">
        <v>1017</v>
      </c>
      <c r="M11" t="s">
        <v>18</v>
      </c>
      <c r="N11">
        <v>0.46</v>
      </c>
      <c r="O11">
        <v>0.78800000000000003</v>
      </c>
      <c r="P11">
        <v>1113</v>
      </c>
      <c r="Q11">
        <v>9027</v>
      </c>
      <c r="R11">
        <v>3306</v>
      </c>
      <c r="S11">
        <v>1929</v>
      </c>
      <c r="T11">
        <v>624</v>
      </c>
      <c r="U11">
        <v>429</v>
      </c>
      <c r="V11">
        <v>1057</v>
      </c>
      <c r="X11" t="s">
        <v>18</v>
      </c>
      <c r="AA11">
        <v>127</v>
      </c>
      <c r="AB11">
        <v>1402</v>
      </c>
      <c r="AC11">
        <v>477</v>
      </c>
      <c r="AD11">
        <v>265</v>
      </c>
      <c r="AE11">
        <v>79</v>
      </c>
      <c r="AF11">
        <v>63</v>
      </c>
      <c r="AG11">
        <v>146</v>
      </c>
    </row>
    <row r="12" spans="2:33" ht="30" customHeight="1" x14ac:dyDescent="0.2">
      <c r="B12" t="s">
        <v>18</v>
      </c>
      <c r="C12">
        <v>0.45700000000000002</v>
      </c>
      <c r="D12">
        <v>0.78</v>
      </c>
      <c r="E12">
        <v>986</v>
      </c>
      <c r="F12">
        <v>7625</v>
      </c>
      <c r="G12">
        <v>2829</v>
      </c>
      <c r="H12">
        <v>1664</v>
      </c>
      <c r="I12">
        <v>545</v>
      </c>
      <c r="J12">
        <v>366</v>
      </c>
      <c r="K12">
        <v>911</v>
      </c>
      <c r="M12" t="s">
        <v>14</v>
      </c>
      <c r="N12">
        <v>0.45800000000000002</v>
      </c>
      <c r="O12">
        <v>0.8</v>
      </c>
      <c r="P12">
        <v>1309</v>
      </c>
      <c r="Q12">
        <v>10216</v>
      </c>
      <c r="R12">
        <v>3894</v>
      </c>
      <c r="S12">
        <v>2422</v>
      </c>
      <c r="T12">
        <v>625</v>
      </c>
      <c r="U12">
        <v>372</v>
      </c>
      <c r="V12">
        <v>1200</v>
      </c>
      <c r="X12" t="s">
        <v>14</v>
      </c>
      <c r="AA12">
        <v>163</v>
      </c>
      <c r="AB12">
        <v>1365</v>
      </c>
      <c r="AC12">
        <v>516</v>
      </c>
      <c r="AD12">
        <v>373</v>
      </c>
      <c r="AE12">
        <v>86</v>
      </c>
      <c r="AF12">
        <v>61</v>
      </c>
      <c r="AG12">
        <v>183</v>
      </c>
    </row>
  </sheetData>
  <pageMargins left="0.7" right="0.7" top="0.75" bottom="0.75" header="0.3" footer="0.3"/>
  <pageSetup orientation="portrait" horizontalDpi="0" verticalDpi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8E17-1661-7C49-8EDD-CED0D893B4E1}">
  <sheetPr codeName="Sheet13"/>
  <dimension ref="B1:AS12"/>
  <sheetViews>
    <sheetView zoomScale="58" workbookViewId="0">
      <selection activeCell="AG17" sqref="AG17"/>
    </sheetView>
  </sheetViews>
  <sheetFormatPr baseColWidth="10" defaultRowHeight="16" x14ac:dyDescent="0.2"/>
  <sheetData>
    <row r="1" spans="2:45" ht="17" customHeight="1" thickBot="1" x14ac:dyDescent="0.25">
      <c r="B1" t="s">
        <v>20</v>
      </c>
      <c r="N1" t="s">
        <v>22</v>
      </c>
      <c r="Y1" t="s">
        <v>21</v>
      </c>
    </row>
    <row r="2" spans="2:45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21" t="s">
        <v>53</v>
      </c>
      <c r="AJ2" s="6" t="s">
        <v>15</v>
      </c>
      <c r="AK2" s="6" t="s">
        <v>19</v>
      </c>
      <c r="AL2" s="6" t="s">
        <v>12</v>
      </c>
      <c r="AM2" s="6" t="s">
        <v>10</v>
      </c>
      <c r="AN2" s="6" t="s">
        <v>11</v>
      </c>
      <c r="AO2" s="6" t="s">
        <v>16</v>
      </c>
      <c r="AP2" s="6" t="s">
        <v>17</v>
      </c>
      <c r="AQ2" s="6" t="s">
        <v>13</v>
      </c>
      <c r="AR2" s="6" t="s">
        <v>18</v>
      </c>
      <c r="AS2" s="7" t="s">
        <v>14</v>
      </c>
    </row>
    <row r="3" spans="2:45" ht="30" customHeight="1" x14ac:dyDescent="0.2">
      <c r="B3" t="s">
        <v>15</v>
      </c>
      <c r="C3">
        <v>0.48899999999999999</v>
      </c>
      <c r="D3">
        <v>0.79</v>
      </c>
      <c r="E3">
        <v>954</v>
      </c>
      <c r="F3">
        <v>9443</v>
      </c>
      <c r="G3">
        <v>3876</v>
      </c>
      <c r="H3">
        <v>1935</v>
      </c>
      <c r="I3">
        <v>553</v>
      </c>
      <c r="J3">
        <v>392</v>
      </c>
      <c r="K3">
        <v>1010</v>
      </c>
      <c r="M3" t="s">
        <v>15</v>
      </c>
      <c r="N3">
        <v>0.48899999999999999</v>
      </c>
      <c r="O3">
        <v>0.79800000000000004</v>
      </c>
      <c r="P3">
        <v>1027</v>
      </c>
      <c r="Q3">
        <v>10167</v>
      </c>
      <c r="R3">
        <v>4137</v>
      </c>
      <c r="S3">
        <v>2078</v>
      </c>
      <c r="T3">
        <v>588</v>
      </c>
      <c r="U3">
        <v>417</v>
      </c>
      <c r="V3">
        <v>1082</v>
      </c>
      <c r="X3" t="s">
        <v>15</v>
      </c>
      <c r="Y3">
        <f>256/524</f>
        <v>0.48854961832061067</v>
      </c>
      <c r="Z3">
        <f>139/157</f>
        <v>0.88535031847133761</v>
      </c>
      <c r="AA3">
        <v>73</v>
      </c>
      <c r="AB3">
        <v>724</v>
      </c>
      <c r="AC3">
        <v>261</v>
      </c>
      <c r="AD3">
        <v>143</v>
      </c>
      <c r="AE3">
        <v>35</v>
      </c>
      <c r="AF3">
        <v>25</v>
      </c>
      <c r="AG3">
        <v>72</v>
      </c>
      <c r="AI3" s="15" t="s">
        <v>15</v>
      </c>
      <c r="AJ3" s="2" t="s">
        <v>23</v>
      </c>
      <c r="AK3" s="3" t="s">
        <v>24</v>
      </c>
      <c r="AL3" s="3" t="s">
        <v>24</v>
      </c>
      <c r="AM3" s="3" t="s">
        <v>29</v>
      </c>
      <c r="AN3" s="3" t="s">
        <v>25</v>
      </c>
      <c r="AO3" s="4" t="s">
        <v>30</v>
      </c>
      <c r="AP3" s="4" t="s">
        <v>30</v>
      </c>
      <c r="AQ3" s="3" t="s">
        <v>27</v>
      </c>
      <c r="AR3" s="4" t="s">
        <v>28</v>
      </c>
      <c r="AS3" s="20" t="s">
        <v>30</v>
      </c>
    </row>
    <row r="4" spans="2:45" ht="30" customHeight="1" x14ac:dyDescent="0.2">
      <c r="B4" t="s">
        <v>19</v>
      </c>
      <c r="C4">
        <v>0.48799999999999999</v>
      </c>
      <c r="D4">
        <v>0.82499999999999996</v>
      </c>
      <c r="E4">
        <v>942</v>
      </c>
      <c r="F4">
        <v>9363</v>
      </c>
      <c r="G4">
        <v>3007</v>
      </c>
      <c r="H4">
        <v>2537</v>
      </c>
      <c r="I4">
        <v>576</v>
      </c>
      <c r="J4">
        <v>302</v>
      </c>
      <c r="K4">
        <v>1030</v>
      </c>
      <c r="M4" t="s">
        <v>19</v>
      </c>
      <c r="N4">
        <v>0.48599999999999999</v>
      </c>
      <c r="O4">
        <v>0.82699999999999996</v>
      </c>
      <c r="P4">
        <v>1011</v>
      </c>
      <c r="Q4">
        <v>10056</v>
      </c>
      <c r="R4">
        <v>3210</v>
      </c>
      <c r="S4">
        <v>2713</v>
      </c>
      <c r="T4">
        <v>626</v>
      </c>
      <c r="U4">
        <v>323</v>
      </c>
      <c r="V4">
        <v>1110</v>
      </c>
      <c r="X4" t="s">
        <v>19</v>
      </c>
      <c r="Y4">
        <f>248/528</f>
        <v>0.46969696969696972</v>
      </c>
      <c r="Z4">
        <f>128/151</f>
        <v>0.84768211920529801</v>
      </c>
      <c r="AA4">
        <v>69</v>
      </c>
      <c r="AB4">
        <v>693</v>
      </c>
      <c r="AC4">
        <v>203</v>
      </c>
      <c r="AD4">
        <v>176</v>
      </c>
      <c r="AE4">
        <v>50</v>
      </c>
      <c r="AF4">
        <v>21</v>
      </c>
      <c r="AG4">
        <v>80</v>
      </c>
      <c r="AI4" s="15" t="s">
        <v>19</v>
      </c>
      <c r="AJ4" s="4" t="s">
        <v>28</v>
      </c>
      <c r="AK4" s="2" t="s">
        <v>23</v>
      </c>
      <c r="AL4" s="3" t="s">
        <v>24</v>
      </c>
      <c r="AM4" s="3" t="s">
        <v>29</v>
      </c>
      <c r="AN4" s="3" t="s">
        <v>24</v>
      </c>
      <c r="AO4" s="4" t="s">
        <v>36</v>
      </c>
      <c r="AP4" s="4" t="s">
        <v>26</v>
      </c>
      <c r="AQ4" s="3" t="s">
        <v>39</v>
      </c>
      <c r="AR4" s="4" t="s">
        <v>28</v>
      </c>
      <c r="AS4" s="9" t="s">
        <v>29</v>
      </c>
    </row>
    <row r="5" spans="2:45" ht="30" customHeight="1" x14ac:dyDescent="0.2">
      <c r="B5" t="s">
        <v>12</v>
      </c>
      <c r="C5">
        <v>0.48299999999999998</v>
      </c>
      <c r="D5">
        <v>0.77100000000000002</v>
      </c>
      <c r="E5">
        <v>886</v>
      </c>
      <c r="F5">
        <v>8879</v>
      </c>
      <c r="G5">
        <v>3052</v>
      </c>
      <c r="H5">
        <v>2143</v>
      </c>
      <c r="I5">
        <v>500</v>
      </c>
      <c r="J5">
        <v>285</v>
      </c>
      <c r="K5">
        <v>1084</v>
      </c>
      <c r="M5" t="s">
        <v>12</v>
      </c>
      <c r="N5">
        <v>0.48299999999999998</v>
      </c>
      <c r="O5">
        <v>0.77100000000000002</v>
      </c>
      <c r="P5">
        <v>920</v>
      </c>
      <c r="Q5">
        <v>9279</v>
      </c>
      <c r="R5">
        <v>3195</v>
      </c>
      <c r="S5">
        <v>2269</v>
      </c>
      <c r="T5">
        <v>525</v>
      </c>
      <c r="U5">
        <v>297</v>
      </c>
      <c r="V5">
        <v>1139</v>
      </c>
      <c r="X5" t="s">
        <v>12</v>
      </c>
      <c r="Y5">
        <f>144/289</f>
        <v>0.4982698961937716</v>
      </c>
      <c r="Z5">
        <f>78/102</f>
        <v>0.76470588235294112</v>
      </c>
      <c r="AA5">
        <v>34</v>
      </c>
      <c r="AB5">
        <v>400</v>
      </c>
      <c r="AC5">
        <v>143</v>
      </c>
      <c r="AD5">
        <v>126</v>
      </c>
      <c r="AE5">
        <v>25</v>
      </c>
      <c r="AF5">
        <v>12</v>
      </c>
      <c r="AG5">
        <v>55</v>
      </c>
      <c r="AI5" s="15" t="s">
        <v>12</v>
      </c>
      <c r="AJ5" s="4" t="s">
        <v>28</v>
      </c>
      <c r="AK5" s="4" t="s">
        <v>28</v>
      </c>
      <c r="AL5" s="2" t="s">
        <v>23</v>
      </c>
      <c r="AM5" s="4" t="s">
        <v>28</v>
      </c>
      <c r="AN5" s="4" t="s">
        <v>26</v>
      </c>
      <c r="AO5" s="4" t="s">
        <v>28</v>
      </c>
      <c r="AP5" s="4" t="s">
        <v>28</v>
      </c>
      <c r="AQ5" s="4" t="s">
        <v>30</v>
      </c>
      <c r="AR5" s="4" t="s">
        <v>28</v>
      </c>
      <c r="AS5" s="20" t="s">
        <v>28</v>
      </c>
    </row>
    <row r="6" spans="2:45" ht="30" customHeight="1" x14ac:dyDescent="0.2">
      <c r="B6" t="s">
        <v>10</v>
      </c>
      <c r="C6">
        <v>0.48099999999999998</v>
      </c>
      <c r="D6">
        <v>0.81100000000000005</v>
      </c>
      <c r="E6">
        <v>1043</v>
      </c>
      <c r="F6">
        <v>10060</v>
      </c>
      <c r="G6">
        <v>3832</v>
      </c>
      <c r="H6">
        <v>2379</v>
      </c>
      <c r="I6">
        <v>717</v>
      </c>
      <c r="J6">
        <v>451</v>
      </c>
      <c r="K6">
        <v>1342</v>
      </c>
      <c r="M6" t="s">
        <v>10</v>
      </c>
      <c r="N6">
        <v>0.48</v>
      </c>
      <c r="O6">
        <v>0.81200000000000006</v>
      </c>
      <c r="P6">
        <v>1108</v>
      </c>
      <c r="Q6">
        <v>10695</v>
      </c>
      <c r="R6">
        <v>4097</v>
      </c>
      <c r="S6">
        <v>2562</v>
      </c>
      <c r="T6">
        <v>769</v>
      </c>
      <c r="U6">
        <v>480</v>
      </c>
      <c r="V6">
        <v>1426</v>
      </c>
      <c r="X6" t="s">
        <v>10</v>
      </c>
      <c r="Y6">
        <f>230/497</f>
        <v>0.46277665995975853</v>
      </c>
      <c r="Z6">
        <f>110/134</f>
        <v>0.82089552238805974</v>
      </c>
      <c r="AA6">
        <v>65</v>
      </c>
      <c r="AB6">
        <v>635</v>
      </c>
      <c r="AC6">
        <v>265</v>
      </c>
      <c r="AD6">
        <v>183</v>
      </c>
      <c r="AE6">
        <v>52</v>
      </c>
      <c r="AF6">
        <v>29</v>
      </c>
      <c r="AG6">
        <v>84</v>
      </c>
      <c r="AI6" s="15" t="s">
        <v>10</v>
      </c>
      <c r="AJ6" s="4" t="s">
        <v>30</v>
      </c>
      <c r="AK6" s="4" t="s">
        <v>30</v>
      </c>
      <c r="AL6" s="3" t="s">
        <v>24</v>
      </c>
      <c r="AM6" s="2" t="s">
        <v>23</v>
      </c>
      <c r="AN6" s="3" t="s">
        <v>40</v>
      </c>
      <c r="AO6" s="4" t="s">
        <v>28</v>
      </c>
      <c r="AP6" s="4" t="s">
        <v>31</v>
      </c>
      <c r="AQ6" s="3" t="s">
        <v>24</v>
      </c>
      <c r="AR6" s="4" t="s">
        <v>28</v>
      </c>
      <c r="AS6" s="9" t="s">
        <v>24</v>
      </c>
    </row>
    <row r="7" spans="2:45" ht="30" customHeight="1" x14ac:dyDescent="0.2">
      <c r="B7" t="s">
        <v>11</v>
      </c>
      <c r="C7">
        <v>0.47799999999999998</v>
      </c>
      <c r="D7">
        <v>0.73699999999999999</v>
      </c>
      <c r="E7">
        <v>1022</v>
      </c>
      <c r="F7">
        <v>10561</v>
      </c>
      <c r="G7">
        <v>3763</v>
      </c>
      <c r="H7">
        <v>2291</v>
      </c>
      <c r="I7">
        <v>612</v>
      </c>
      <c r="J7">
        <v>412</v>
      </c>
      <c r="K7">
        <v>1222</v>
      </c>
      <c r="M7" t="s">
        <v>11</v>
      </c>
      <c r="N7">
        <v>0.47699999999999998</v>
      </c>
      <c r="O7">
        <v>0.73799999999999999</v>
      </c>
      <c r="P7">
        <v>1082</v>
      </c>
      <c r="Q7">
        <v>11178</v>
      </c>
      <c r="R7">
        <v>3980</v>
      </c>
      <c r="S7">
        <v>2454</v>
      </c>
      <c r="T7">
        <v>652</v>
      </c>
      <c r="U7">
        <v>440</v>
      </c>
      <c r="V7">
        <v>1311</v>
      </c>
      <c r="X7" t="s">
        <v>11</v>
      </c>
      <c r="Y7">
        <f>234/516</f>
        <v>0.45348837209302323</v>
      </c>
      <c r="Z7">
        <f>89/119</f>
        <v>0.74789915966386555</v>
      </c>
      <c r="AA7">
        <v>60</v>
      </c>
      <c r="AB7">
        <v>617</v>
      </c>
      <c r="AC7">
        <v>217</v>
      </c>
      <c r="AD7">
        <v>163</v>
      </c>
      <c r="AE7">
        <v>40</v>
      </c>
      <c r="AF7">
        <v>28</v>
      </c>
      <c r="AG7">
        <v>89</v>
      </c>
      <c r="AI7" s="15" t="s">
        <v>11</v>
      </c>
      <c r="AJ7" s="4" t="s">
        <v>26</v>
      </c>
      <c r="AK7" s="4" t="s">
        <v>28</v>
      </c>
      <c r="AL7" s="3" t="s">
        <v>25</v>
      </c>
      <c r="AM7" s="4" t="s">
        <v>41</v>
      </c>
      <c r="AN7" s="2" t="s">
        <v>23</v>
      </c>
      <c r="AO7" s="4" t="s">
        <v>31</v>
      </c>
      <c r="AP7" s="4" t="s">
        <v>41</v>
      </c>
      <c r="AQ7" s="3" t="s">
        <v>25</v>
      </c>
      <c r="AR7" s="4" t="s">
        <v>28</v>
      </c>
      <c r="AS7" s="20" t="s">
        <v>26</v>
      </c>
    </row>
    <row r="8" spans="2:45" ht="30" customHeight="1" x14ac:dyDescent="0.2">
      <c r="B8" t="s">
        <v>16</v>
      </c>
      <c r="C8">
        <v>0.47199999999999998</v>
      </c>
      <c r="D8">
        <v>0.81</v>
      </c>
      <c r="E8">
        <v>1090</v>
      </c>
      <c r="F8">
        <v>10046</v>
      </c>
      <c r="G8">
        <v>3202</v>
      </c>
      <c r="H8">
        <v>2522</v>
      </c>
      <c r="I8">
        <v>699</v>
      </c>
      <c r="J8">
        <v>372</v>
      </c>
      <c r="K8">
        <v>1226</v>
      </c>
      <c r="M8" t="s">
        <v>16</v>
      </c>
      <c r="N8">
        <v>0.47199999999999998</v>
      </c>
      <c r="O8">
        <v>0.81100000000000005</v>
      </c>
      <c r="P8">
        <v>1195</v>
      </c>
      <c r="Q8">
        <v>10927</v>
      </c>
      <c r="R8">
        <v>3418</v>
      </c>
      <c r="S8">
        <v>2736</v>
      </c>
      <c r="T8">
        <v>749</v>
      </c>
      <c r="U8">
        <v>412</v>
      </c>
      <c r="V8">
        <v>1309</v>
      </c>
      <c r="X8" t="s">
        <v>16</v>
      </c>
      <c r="Y8">
        <f>322/671</f>
        <v>0.47988077496274217</v>
      </c>
      <c r="Z8">
        <f>132/160</f>
        <v>0.82499999999999996</v>
      </c>
      <c r="AA8">
        <v>105</v>
      </c>
      <c r="AB8">
        <v>881</v>
      </c>
      <c r="AC8">
        <v>216</v>
      </c>
      <c r="AD8">
        <v>214</v>
      </c>
      <c r="AE8">
        <v>50</v>
      </c>
      <c r="AF8">
        <v>40</v>
      </c>
      <c r="AG8">
        <v>83</v>
      </c>
      <c r="AI8" s="15" t="s">
        <v>16</v>
      </c>
      <c r="AJ8" s="3" t="s">
        <v>29</v>
      </c>
      <c r="AK8" s="3" t="s">
        <v>33</v>
      </c>
      <c r="AL8" s="3" t="s">
        <v>24</v>
      </c>
      <c r="AM8" s="3" t="s">
        <v>24</v>
      </c>
      <c r="AN8" s="3" t="s">
        <v>27</v>
      </c>
      <c r="AO8" s="2" t="s">
        <v>23</v>
      </c>
      <c r="AP8" s="3" t="s">
        <v>25</v>
      </c>
      <c r="AQ8" s="3" t="s">
        <v>27</v>
      </c>
      <c r="AR8" s="4" t="s">
        <v>26</v>
      </c>
      <c r="AS8" s="9" t="s">
        <v>27</v>
      </c>
    </row>
    <row r="9" spans="2:45" ht="30" customHeight="1" x14ac:dyDescent="0.2">
      <c r="B9" t="s">
        <v>17</v>
      </c>
      <c r="C9">
        <v>0.47</v>
      </c>
      <c r="D9">
        <v>0.8</v>
      </c>
      <c r="E9">
        <v>1209</v>
      </c>
      <c r="F9">
        <v>10824</v>
      </c>
      <c r="G9">
        <v>3708</v>
      </c>
      <c r="H9">
        <v>2387</v>
      </c>
      <c r="I9">
        <v>591</v>
      </c>
      <c r="J9">
        <v>517</v>
      </c>
      <c r="K9">
        <v>1419</v>
      </c>
      <c r="M9" t="s">
        <v>17</v>
      </c>
      <c r="N9">
        <v>0.47</v>
      </c>
      <c r="O9">
        <v>0.80200000000000005</v>
      </c>
      <c r="P9">
        <v>1281</v>
      </c>
      <c r="Q9">
        <v>11678</v>
      </c>
      <c r="R9">
        <v>4011</v>
      </c>
      <c r="S9">
        <v>2571</v>
      </c>
      <c r="T9">
        <v>637</v>
      </c>
      <c r="U9">
        <v>554</v>
      </c>
      <c r="V9">
        <v>1500</v>
      </c>
      <c r="X9" t="s">
        <v>17</v>
      </c>
      <c r="Y9">
        <f>311/651</f>
        <v>0.47772657450076805</v>
      </c>
      <c r="Z9">
        <f>160/192</f>
        <v>0.83333333333333337</v>
      </c>
      <c r="AA9">
        <v>72</v>
      </c>
      <c r="AB9">
        <v>854</v>
      </c>
      <c r="AC9">
        <v>303</v>
      </c>
      <c r="AD9">
        <v>184</v>
      </c>
      <c r="AE9">
        <v>46</v>
      </c>
      <c r="AF9">
        <v>37</v>
      </c>
      <c r="AG9">
        <v>81</v>
      </c>
      <c r="AI9" s="15" t="s">
        <v>17</v>
      </c>
      <c r="AJ9" s="3" t="s">
        <v>29</v>
      </c>
      <c r="AK9" s="3" t="s">
        <v>25</v>
      </c>
      <c r="AL9" s="3" t="s">
        <v>24</v>
      </c>
      <c r="AM9" s="3" t="s">
        <v>27</v>
      </c>
      <c r="AN9" s="3" t="s">
        <v>40</v>
      </c>
      <c r="AO9" s="4" t="s">
        <v>26</v>
      </c>
      <c r="AP9" s="2" t="s">
        <v>23</v>
      </c>
      <c r="AQ9" s="3" t="s">
        <v>27</v>
      </c>
      <c r="AR9" s="4" t="s">
        <v>26</v>
      </c>
      <c r="AS9" s="9" t="s">
        <v>27</v>
      </c>
    </row>
    <row r="10" spans="2:45" ht="30" customHeight="1" x14ac:dyDescent="0.2">
      <c r="B10" t="s">
        <v>13</v>
      </c>
      <c r="C10">
        <v>0.47</v>
      </c>
      <c r="D10">
        <v>0.83699999999999997</v>
      </c>
      <c r="E10">
        <v>782</v>
      </c>
      <c r="F10">
        <v>7630</v>
      </c>
      <c r="G10">
        <v>2460</v>
      </c>
      <c r="H10">
        <v>1818</v>
      </c>
      <c r="I10">
        <v>409</v>
      </c>
      <c r="J10">
        <v>291</v>
      </c>
      <c r="K10">
        <v>895</v>
      </c>
      <c r="M10" t="s">
        <v>13</v>
      </c>
      <c r="N10">
        <v>0.47</v>
      </c>
      <c r="O10">
        <v>0.83399999999999996</v>
      </c>
      <c r="P10">
        <v>831</v>
      </c>
      <c r="Q10">
        <v>8060</v>
      </c>
      <c r="R10">
        <v>2591</v>
      </c>
      <c r="S10">
        <v>1915</v>
      </c>
      <c r="T10">
        <v>423</v>
      </c>
      <c r="U10">
        <v>312</v>
      </c>
      <c r="V10">
        <v>941</v>
      </c>
      <c r="X10" t="s">
        <v>13</v>
      </c>
      <c r="Y10">
        <f>152/327</f>
        <v>0.46483180428134557</v>
      </c>
      <c r="Z10">
        <f>77/97</f>
        <v>0.79381443298969068</v>
      </c>
      <c r="AA10">
        <v>49</v>
      </c>
      <c r="AB10">
        <v>430</v>
      </c>
      <c r="AC10">
        <v>131</v>
      </c>
      <c r="AD10">
        <v>97</v>
      </c>
      <c r="AE10">
        <v>14</v>
      </c>
      <c r="AF10">
        <v>21</v>
      </c>
      <c r="AG10">
        <v>46</v>
      </c>
      <c r="AI10" s="15" t="s">
        <v>13</v>
      </c>
      <c r="AJ10" s="4" t="s">
        <v>31</v>
      </c>
      <c r="AK10" s="4" t="s">
        <v>38</v>
      </c>
      <c r="AL10" s="3" t="s">
        <v>29</v>
      </c>
      <c r="AM10" s="4" t="s">
        <v>28</v>
      </c>
      <c r="AN10" s="4" t="s">
        <v>26</v>
      </c>
      <c r="AO10" s="4" t="s">
        <v>31</v>
      </c>
      <c r="AP10" s="4" t="s">
        <v>31</v>
      </c>
      <c r="AQ10" s="2" t="s">
        <v>23</v>
      </c>
      <c r="AR10" s="4" t="s">
        <v>31</v>
      </c>
      <c r="AS10" s="20" t="s">
        <v>28</v>
      </c>
    </row>
    <row r="11" spans="2:45" ht="30" customHeight="1" x14ac:dyDescent="0.2">
      <c r="B11" t="s">
        <v>18</v>
      </c>
      <c r="C11">
        <v>0.46</v>
      </c>
      <c r="D11">
        <v>0.78800000000000003</v>
      </c>
      <c r="E11">
        <v>1113</v>
      </c>
      <c r="F11">
        <v>9027</v>
      </c>
      <c r="G11">
        <v>3306</v>
      </c>
      <c r="H11">
        <v>1929</v>
      </c>
      <c r="I11">
        <v>624</v>
      </c>
      <c r="J11">
        <v>429</v>
      </c>
      <c r="K11">
        <v>1057</v>
      </c>
      <c r="M11" t="s">
        <v>18</v>
      </c>
      <c r="N11">
        <v>0.46200000000000002</v>
      </c>
      <c r="O11">
        <v>0.79700000000000004</v>
      </c>
      <c r="P11">
        <v>1225</v>
      </c>
      <c r="Q11">
        <v>9951</v>
      </c>
      <c r="R11">
        <v>3620</v>
      </c>
      <c r="S11">
        <v>2090</v>
      </c>
      <c r="T11">
        <v>678</v>
      </c>
      <c r="U11">
        <v>459</v>
      </c>
      <c r="V11">
        <v>1147</v>
      </c>
      <c r="X11" t="s">
        <v>18</v>
      </c>
      <c r="Y11">
        <f>331/680</f>
        <v>0.48676470588235293</v>
      </c>
      <c r="Z11">
        <f>150/168</f>
        <v>0.8928571428571429</v>
      </c>
      <c r="AA11">
        <v>112</v>
      </c>
      <c r="AB11">
        <v>924</v>
      </c>
      <c r="AC11">
        <v>314</v>
      </c>
      <c r="AD11">
        <v>161</v>
      </c>
      <c r="AE11">
        <v>54</v>
      </c>
      <c r="AF11">
        <v>30</v>
      </c>
      <c r="AG11">
        <v>90</v>
      </c>
      <c r="AI11" s="15" t="s">
        <v>18</v>
      </c>
      <c r="AJ11" s="3" t="s">
        <v>24</v>
      </c>
      <c r="AK11" s="3" t="s">
        <v>24</v>
      </c>
      <c r="AL11" s="3" t="s">
        <v>24</v>
      </c>
      <c r="AM11" s="3" t="s">
        <v>24</v>
      </c>
      <c r="AN11" s="3" t="s">
        <v>24</v>
      </c>
      <c r="AO11" s="3" t="s">
        <v>25</v>
      </c>
      <c r="AP11" s="3" t="s">
        <v>25</v>
      </c>
      <c r="AQ11" s="3" t="s">
        <v>27</v>
      </c>
      <c r="AR11" s="2" t="s">
        <v>23</v>
      </c>
      <c r="AS11" s="9" t="s">
        <v>27</v>
      </c>
    </row>
    <row r="12" spans="2:45" ht="30" customHeight="1" thickBot="1" x14ac:dyDescent="0.25">
      <c r="B12" t="s">
        <v>14</v>
      </c>
      <c r="C12">
        <v>0.45800000000000002</v>
      </c>
      <c r="D12">
        <v>0.8</v>
      </c>
      <c r="E12">
        <v>1309</v>
      </c>
      <c r="F12">
        <v>10216</v>
      </c>
      <c r="G12">
        <v>3894</v>
      </c>
      <c r="H12">
        <v>2422</v>
      </c>
      <c r="I12">
        <v>625</v>
      </c>
      <c r="J12">
        <v>372</v>
      </c>
      <c r="K12">
        <v>1200</v>
      </c>
      <c r="M12" t="s">
        <v>14</v>
      </c>
      <c r="N12">
        <v>0.45800000000000002</v>
      </c>
      <c r="O12">
        <v>0.8</v>
      </c>
      <c r="P12">
        <v>1389</v>
      </c>
      <c r="Q12">
        <v>10983</v>
      </c>
      <c r="R12">
        <v>4144</v>
      </c>
      <c r="S12">
        <v>2579</v>
      </c>
      <c r="T12">
        <v>662</v>
      </c>
      <c r="U12">
        <v>399</v>
      </c>
      <c r="V12">
        <v>1288</v>
      </c>
      <c r="X12" t="s">
        <v>14</v>
      </c>
      <c r="Y12">
        <f>274/598</f>
        <v>0.45819397993311034</v>
      </c>
      <c r="Z12">
        <f>139/174</f>
        <v>0.79885057471264365</v>
      </c>
      <c r="AA12">
        <v>80</v>
      </c>
      <c r="AB12">
        <v>767</v>
      </c>
      <c r="AC12">
        <v>250</v>
      </c>
      <c r="AD12">
        <v>157</v>
      </c>
      <c r="AE12">
        <v>37</v>
      </c>
      <c r="AF12">
        <v>27</v>
      </c>
      <c r="AG12">
        <v>88</v>
      </c>
      <c r="AI12" s="16" t="s">
        <v>14</v>
      </c>
      <c r="AJ12" s="18" t="s">
        <v>29</v>
      </c>
      <c r="AK12" s="11" t="s">
        <v>30</v>
      </c>
      <c r="AL12" s="18" t="s">
        <v>24</v>
      </c>
      <c r="AM12" s="11" t="s">
        <v>28</v>
      </c>
      <c r="AN12" s="18" t="s">
        <v>25</v>
      </c>
      <c r="AO12" s="11" t="s">
        <v>31</v>
      </c>
      <c r="AP12" s="11" t="s">
        <v>31</v>
      </c>
      <c r="AQ12" s="18" t="s">
        <v>24</v>
      </c>
      <c r="AR12" s="11" t="s">
        <v>31</v>
      </c>
      <c r="AS12" s="12" t="s">
        <v>23</v>
      </c>
    </row>
  </sheetData>
  <pageMargins left="0.7" right="0.7" top="0.75" bottom="0.75" header="0.3" footer="0.3"/>
  <pageSetup orientation="portrait" horizontalDpi="0" verticalDpi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2A3BD-3845-D14E-81C2-CF8D93AE98BD}">
  <dimension ref="B1:AS12"/>
  <sheetViews>
    <sheetView topLeftCell="K1" zoomScale="75" workbookViewId="0">
      <selection activeCell="AJ18" sqref="AJ18"/>
    </sheetView>
  </sheetViews>
  <sheetFormatPr baseColWidth="10" defaultRowHeight="16" x14ac:dyDescent="0.2"/>
  <sheetData>
    <row r="1" spans="2:45" ht="17" customHeight="1" thickBot="1" x14ac:dyDescent="0.25">
      <c r="B1" t="s">
        <v>20</v>
      </c>
      <c r="N1" t="s">
        <v>22</v>
      </c>
      <c r="Y1" t="s">
        <v>21</v>
      </c>
    </row>
    <row r="2" spans="2:45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54</v>
      </c>
      <c r="AJ2" s="6" t="s">
        <v>15</v>
      </c>
      <c r="AK2" s="6" t="s">
        <v>19</v>
      </c>
      <c r="AL2" s="6" t="s">
        <v>12</v>
      </c>
      <c r="AM2" s="6" t="s">
        <v>10</v>
      </c>
      <c r="AN2" s="6" t="s">
        <v>11</v>
      </c>
      <c r="AO2" s="6" t="s">
        <v>17</v>
      </c>
      <c r="AP2" s="6" t="s">
        <v>16</v>
      </c>
      <c r="AQ2" s="6" t="s">
        <v>13</v>
      </c>
      <c r="AR2" s="6" t="s">
        <v>18</v>
      </c>
      <c r="AS2" s="7" t="s">
        <v>14</v>
      </c>
    </row>
    <row r="3" spans="2:45" ht="30" customHeight="1" x14ac:dyDescent="0.2">
      <c r="B3" t="s">
        <v>15</v>
      </c>
      <c r="C3">
        <v>0.48899999999999999</v>
      </c>
      <c r="D3">
        <v>0.79800000000000004</v>
      </c>
      <c r="E3">
        <v>1027</v>
      </c>
      <c r="F3">
        <v>10167</v>
      </c>
      <c r="G3">
        <v>4137</v>
      </c>
      <c r="H3">
        <v>2078</v>
      </c>
      <c r="I3">
        <v>588</v>
      </c>
      <c r="J3">
        <v>417</v>
      </c>
      <c r="K3">
        <v>1082</v>
      </c>
      <c r="M3" t="s">
        <v>15</v>
      </c>
      <c r="N3">
        <v>0.48899999999999999</v>
      </c>
      <c r="O3">
        <v>0.79800000000000004</v>
      </c>
      <c r="P3">
        <v>1127</v>
      </c>
      <c r="Q3">
        <v>11087</v>
      </c>
      <c r="R3">
        <v>4450</v>
      </c>
      <c r="S3">
        <v>2263</v>
      </c>
      <c r="T3">
        <v>646</v>
      </c>
      <c r="U3">
        <v>438</v>
      </c>
      <c r="V3">
        <v>1161</v>
      </c>
      <c r="X3" t="s">
        <v>15</v>
      </c>
      <c r="Y3">
        <f>343/689</f>
        <v>0.49782293178519593</v>
      </c>
      <c r="Z3">
        <f>134/166</f>
        <v>0.80722891566265065</v>
      </c>
      <c r="AA3">
        <v>100</v>
      </c>
      <c r="AB3">
        <v>920</v>
      </c>
      <c r="AC3">
        <v>313</v>
      </c>
      <c r="AD3">
        <v>185</v>
      </c>
      <c r="AE3">
        <v>58</v>
      </c>
      <c r="AF3">
        <v>21</v>
      </c>
      <c r="AG3">
        <v>79</v>
      </c>
      <c r="AI3" s="15" t="s">
        <v>15</v>
      </c>
      <c r="AJ3" s="2" t="s">
        <v>23</v>
      </c>
      <c r="AK3" s="3" t="s">
        <v>25</v>
      </c>
      <c r="AL3" s="3" t="s">
        <v>39</v>
      </c>
      <c r="AM3" s="3" t="s">
        <v>29</v>
      </c>
      <c r="AN3" s="3" t="s">
        <v>27</v>
      </c>
      <c r="AO3" s="4" t="s">
        <v>30</v>
      </c>
      <c r="AP3" s="4" t="s">
        <v>30</v>
      </c>
      <c r="AQ3" s="3" t="s">
        <v>27</v>
      </c>
      <c r="AR3" s="3" t="s">
        <v>34</v>
      </c>
      <c r="AS3" s="9" t="s">
        <v>29</v>
      </c>
    </row>
    <row r="4" spans="2:45" ht="30" customHeight="1" x14ac:dyDescent="0.2">
      <c r="B4" t="s">
        <v>19</v>
      </c>
      <c r="C4">
        <v>0.48599999999999999</v>
      </c>
      <c r="D4">
        <v>0.82699999999999996</v>
      </c>
      <c r="E4">
        <v>1011</v>
      </c>
      <c r="F4">
        <v>10056</v>
      </c>
      <c r="G4">
        <v>3210</v>
      </c>
      <c r="H4">
        <v>2713</v>
      </c>
      <c r="I4">
        <v>626</v>
      </c>
      <c r="J4">
        <v>323</v>
      </c>
      <c r="K4">
        <v>1110</v>
      </c>
      <c r="M4" t="s">
        <v>19</v>
      </c>
      <c r="N4">
        <v>0.48399999999999999</v>
      </c>
      <c r="O4">
        <v>0.82499999999999996</v>
      </c>
      <c r="P4">
        <v>1097</v>
      </c>
      <c r="Q4">
        <v>10908</v>
      </c>
      <c r="R4">
        <v>3468</v>
      </c>
      <c r="S4">
        <v>2955</v>
      </c>
      <c r="T4">
        <v>690</v>
      </c>
      <c r="U4">
        <v>350</v>
      </c>
      <c r="V4">
        <v>1195</v>
      </c>
      <c r="X4" t="s">
        <v>19</v>
      </c>
      <c r="Y4">
        <f>298/649</f>
        <v>0.4591679506933744</v>
      </c>
      <c r="Z4">
        <f>170/211</f>
        <v>0.80568720379146919</v>
      </c>
      <c r="AA4">
        <v>86</v>
      </c>
      <c r="AB4">
        <v>852</v>
      </c>
      <c r="AC4">
        <v>258</v>
      </c>
      <c r="AD4">
        <v>242</v>
      </c>
      <c r="AE4">
        <v>64</v>
      </c>
      <c r="AF4">
        <v>27</v>
      </c>
      <c r="AG4">
        <v>85</v>
      </c>
      <c r="AI4" s="15" t="s">
        <v>19</v>
      </c>
      <c r="AJ4" s="4" t="s">
        <v>26</v>
      </c>
      <c r="AK4" s="2" t="s">
        <v>23</v>
      </c>
      <c r="AL4" s="3" t="s">
        <v>24</v>
      </c>
      <c r="AM4" s="3" t="s">
        <v>29</v>
      </c>
      <c r="AN4" s="3" t="s">
        <v>44</v>
      </c>
      <c r="AO4" s="4" t="s">
        <v>26</v>
      </c>
      <c r="AP4" s="4" t="s">
        <v>28</v>
      </c>
      <c r="AQ4" s="3" t="s">
        <v>25</v>
      </c>
      <c r="AR4" s="4" t="s">
        <v>30</v>
      </c>
      <c r="AS4" s="9" t="s">
        <v>29</v>
      </c>
    </row>
    <row r="5" spans="2:45" ht="30" customHeight="1" x14ac:dyDescent="0.2">
      <c r="B5" t="s">
        <v>12</v>
      </c>
      <c r="C5">
        <v>0.48299999999999998</v>
      </c>
      <c r="D5">
        <v>0.77100000000000002</v>
      </c>
      <c r="E5">
        <v>920</v>
      </c>
      <c r="F5">
        <v>9279</v>
      </c>
      <c r="G5">
        <v>3195</v>
      </c>
      <c r="H5">
        <v>2269</v>
      </c>
      <c r="I5">
        <v>525</v>
      </c>
      <c r="J5">
        <v>297</v>
      </c>
      <c r="K5">
        <v>1139</v>
      </c>
      <c r="M5" t="s">
        <v>12</v>
      </c>
      <c r="N5">
        <v>0.48199999999999998</v>
      </c>
      <c r="O5">
        <v>0.77200000000000002</v>
      </c>
      <c r="P5">
        <v>968</v>
      </c>
      <c r="Q5">
        <v>9811</v>
      </c>
      <c r="R5">
        <v>3395</v>
      </c>
      <c r="S5">
        <v>2414</v>
      </c>
      <c r="T5">
        <v>571</v>
      </c>
      <c r="U5">
        <v>318</v>
      </c>
      <c r="V5">
        <v>1209</v>
      </c>
      <c r="X5" t="s">
        <v>12</v>
      </c>
      <c r="Y5">
        <f>196/420</f>
        <v>0.46666666666666667</v>
      </c>
      <c r="Z5">
        <f>94/120</f>
        <v>0.78333333333333333</v>
      </c>
      <c r="AA5">
        <v>48</v>
      </c>
      <c r="AB5">
        <v>532</v>
      </c>
      <c r="AC5">
        <v>200</v>
      </c>
      <c r="AD5">
        <v>145</v>
      </c>
      <c r="AE5">
        <v>46</v>
      </c>
      <c r="AF5">
        <v>21</v>
      </c>
      <c r="AG5">
        <v>70</v>
      </c>
      <c r="AI5" s="15" t="s">
        <v>12</v>
      </c>
      <c r="AJ5" s="4" t="s">
        <v>38</v>
      </c>
      <c r="AK5" s="4" t="s">
        <v>28</v>
      </c>
      <c r="AL5" s="2" t="s">
        <v>23</v>
      </c>
      <c r="AM5" s="4" t="s">
        <v>28</v>
      </c>
      <c r="AN5" s="4" t="s">
        <v>30</v>
      </c>
      <c r="AO5" s="4" t="s">
        <v>28</v>
      </c>
      <c r="AP5" s="4" t="s">
        <v>31</v>
      </c>
      <c r="AQ5" s="4" t="s">
        <v>30</v>
      </c>
      <c r="AR5" s="4" t="s">
        <v>28</v>
      </c>
      <c r="AS5" s="20" t="s">
        <v>28</v>
      </c>
    </row>
    <row r="6" spans="2:45" ht="30" customHeight="1" x14ac:dyDescent="0.2">
      <c r="B6" t="s">
        <v>10</v>
      </c>
      <c r="C6">
        <v>0.48</v>
      </c>
      <c r="D6">
        <v>0.81200000000000006</v>
      </c>
      <c r="E6">
        <v>1108</v>
      </c>
      <c r="F6">
        <v>10695</v>
      </c>
      <c r="G6">
        <v>4097</v>
      </c>
      <c r="H6">
        <v>2562</v>
      </c>
      <c r="I6">
        <v>769</v>
      </c>
      <c r="J6">
        <v>480</v>
      </c>
      <c r="K6">
        <v>1426</v>
      </c>
      <c r="M6" t="s">
        <v>10</v>
      </c>
      <c r="N6">
        <v>0.47899999999999998</v>
      </c>
      <c r="O6">
        <v>0.80900000000000005</v>
      </c>
      <c r="P6">
        <v>1178</v>
      </c>
      <c r="Q6">
        <v>11543</v>
      </c>
      <c r="R6">
        <v>4470</v>
      </c>
      <c r="S6">
        <v>2760</v>
      </c>
      <c r="T6">
        <v>835</v>
      </c>
      <c r="U6">
        <v>540</v>
      </c>
      <c r="V6">
        <v>1543</v>
      </c>
      <c r="X6" t="s">
        <v>10</v>
      </c>
      <c r="Y6">
        <f>326/692</f>
        <v>0.47109826589595377</v>
      </c>
      <c r="Z6">
        <f>126/164</f>
        <v>0.76829268292682928</v>
      </c>
      <c r="AA6">
        <v>70</v>
      </c>
      <c r="AB6">
        <v>848</v>
      </c>
      <c r="AC6">
        <v>373</v>
      </c>
      <c r="AD6">
        <v>198</v>
      </c>
      <c r="AE6">
        <v>66</v>
      </c>
      <c r="AF6">
        <v>60</v>
      </c>
      <c r="AG6">
        <v>117</v>
      </c>
      <c r="AI6" s="15" t="s">
        <v>10</v>
      </c>
      <c r="AJ6" s="4" t="s">
        <v>30</v>
      </c>
      <c r="AK6" s="4" t="s">
        <v>30</v>
      </c>
      <c r="AL6" s="3" t="s">
        <v>24</v>
      </c>
      <c r="AM6" s="2" t="s">
        <v>23</v>
      </c>
      <c r="AN6" s="3" t="s">
        <v>24</v>
      </c>
      <c r="AO6" s="3" t="s">
        <v>29</v>
      </c>
      <c r="AP6" s="3" t="s">
        <v>29</v>
      </c>
      <c r="AQ6" s="3" t="s">
        <v>29</v>
      </c>
      <c r="AR6" s="3" t="s">
        <v>29</v>
      </c>
      <c r="AS6" s="20" t="s">
        <v>30</v>
      </c>
    </row>
    <row r="7" spans="2:45" ht="30" customHeight="1" x14ac:dyDescent="0.2">
      <c r="B7" t="s">
        <v>11</v>
      </c>
      <c r="C7">
        <v>0.47699999999999998</v>
      </c>
      <c r="D7">
        <v>0.73799999999999999</v>
      </c>
      <c r="E7">
        <v>1082</v>
      </c>
      <c r="F7">
        <v>11178</v>
      </c>
      <c r="G7">
        <v>3980</v>
      </c>
      <c r="H7">
        <v>2454</v>
      </c>
      <c r="I7">
        <v>652</v>
      </c>
      <c r="J7">
        <v>440</v>
      </c>
      <c r="K7">
        <v>1311</v>
      </c>
      <c r="M7" t="s">
        <v>11</v>
      </c>
      <c r="N7">
        <v>0.47599999999999998</v>
      </c>
      <c r="O7">
        <v>0.73699999999999999</v>
      </c>
      <c r="P7">
        <v>1168</v>
      </c>
      <c r="Q7">
        <v>11893</v>
      </c>
      <c r="R7">
        <v>4241</v>
      </c>
      <c r="S7">
        <v>2636</v>
      </c>
      <c r="T7">
        <v>696</v>
      </c>
      <c r="U7">
        <v>480</v>
      </c>
      <c r="V7">
        <v>1396</v>
      </c>
      <c r="X7" t="s">
        <v>11</v>
      </c>
      <c r="Y7">
        <f>259/557</f>
        <v>0.4649910233393178</v>
      </c>
      <c r="Z7">
        <f>111/152</f>
        <v>0.73026315789473684</v>
      </c>
      <c r="AA7">
        <v>86</v>
      </c>
      <c r="AB7">
        <v>715</v>
      </c>
      <c r="AC7">
        <v>261</v>
      </c>
      <c r="AD7">
        <v>182</v>
      </c>
      <c r="AE7">
        <v>44</v>
      </c>
      <c r="AF7">
        <v>40</v>
      </c>
      <c r="AG7">
        <v>85</v>
      </c>
      <c r="AI7" s="15" t="s">
        <v>11</v>
      </c>
      <c r="AJ7" s="4" t="s">
        <v>31</v>
      </c>
      <c r="AK7" s="4" t="s">
        <v>43</v>
      </c>
      <c r="AL7" s="3" t="s">
        <v>29</v>
      </c>
      <c r="AM7" s="4" t="s">
        <v>28</v>
      </c>
      <c r="AN7" s="2" t="s">
        <v>23</v>
      </c>
      <c r="AO7" s="4" t="s">
        <v>28</v>
      </c>
      <c r="AP7" s="4" t="s">
        <v>31</v>
      </c>
      <c r="AQ7" s="3" t="s">
        <v>25</v>
      </c>
      <c r="AR7" s="4" t="s">
        <v>26</v>
      </c>
      <c r="AS7" s="20" t="s">
        <v>26</v>
      </c>
    </row>
    <row r="8" spans="2:45" ht="30" customHeight="1" x14ac:dyDescent="0.2">
      <c r="B8" t="s">
        <v>16</v>
      </c>
      <c r="C8">
        <v>0.47199999999999998</v>
      </c>
      <c r="D8">
        <v>0.81100000000000005</v>
      </c>
      <c r="E8">
        <v>1195</v>
      </c>
      <c r="F8">
        <v>10927</v>
      </c>
      <c r="G8">
        <v>3418</v>
      </c>
      <c r="H8">
        <v>2736</v>
      </c>
      <c r="I8">
        <v>749</v>
      </c>
      <c r="J8">
        <v>412</v>
      </c>
      <c r="K8">
        <v>1309</v>
      </c>
      <c r="M8" t="s">
        <v>17</v>
      </c>
      <c r="N8">
        <v>0.47199999999999998</v>
      </c>
      <c r="O8">
        <v>0.79900000000000004</v>
      </c>
      <c r="P8">
        <v>1386</v>
      </c>
      <c r="Q8">
        <v>12695</v>
      </c>
      <c r="R8">
        <v>4360</v>
      </c>
      <c r="S8">
        <v>2819</v>
      </c>
      <c r="T8">
        <v>693</v>
      </c>
      <c r="U8">
        <v>590</v>
      </c>
      <c r="V8">
        <v>1640</v>
      </c>
      <c r="X8" t="s">
        <v>17</v>
      </c>
      <c r="Y8">
        <f>370/753</f>
        <v>0.49136786188579018</v>
      </c>
      <c r="Z8">
        <f>172/227</f>
        <v>0.75770925110132159</v>
      </c>
      <c r="AA8">
        <v>105</v>
      </c>
      <c r="AB8">
        <v>1017</v>
      </c>
      <c r="AC8">
        <v>349</v>
      </c>
      <c r="AD8">
        <v>248</v>
      </c>
      <c r="AE8">
        <v>56</v>
      </c>
      <c r="AF8">
        <v>36</v>
      </c>
      <c r="AG8">
        <v>140</v>
      </c>
      <c r="AI8" s="15" t="s">
        <v>17</v>
      </c>
      <c r="AJ8" s="3" t="s">
        <v>29</v>
      </c>
      <c r="AK8" s="3" t="s">
        <v>25</v>
      </c>
      <c r="AL8" s="3" t="s">
        <v>24</v>
      </c>
      <c r="AM8" s="4" t="s">
        <v>30</v>
      </c>
      <c r="AN8" s="3" t="s">
        <v>24</v>
      </c>
      <c r="AO8" s="2" t="s">
        <v>23</v>
      </c>
      <c r="AP8" s="4" t="s">
        <v>30</v>
      </c>
      <c r="AQ8" s="3" t="s">
        <v>25</v>
      </c>
      <c r="AR8" s="4" t="s">
        <v>30</v>
      </c>
      <c r="AS8" s="9" t="s">
        <v>33</v>
      </c>
    </row>
    <row r="9" spans="2:45" ht="30" customHeight="1" x14ac:dyDescent="0.2">
      <c r="B9" t="s">
        <v>17</v>
      </c>
      <c r="C9">
        <v>0.47</v>
      </c>
      <c r="D9">
        <v>0.80200000000000005</v>
      </c>
      <c r="E9">
        <v>1281</v>
      </c>
      <c r="F9">
        <v>11678</v>
      </c>
      <c r="G9">
        <v>4011</v>
      </c>
      <c r="H9">
        <v>2571</v>
      </c>
      <c r="I9">
        <v>637</v>
      </c>
      <c r="J9">
        <v>554</v>
      </c>
      <c r="K9">
        <v>1500</v>
      </c>
      <c r="M9" t="s">
        <v>16</v>
      </c>
      <c r="N9">
        <v>0.47199999999999998</v>
      </c>
      <c r="O9">
        <v>0.81100000000000005</v>
      </c>
      <c r="P9">
        <v>1311</v>
      </c>
      <c r="Q9">
        <v>12003</v>
      </c>
      <c r="R9">
        <v>3711</v>
      </c>
      <c r="S9">
        <v>2980</v>
      </c>
      <c r="T9">
        <v>798</v>
      </c>
      <c r="U9">
        <v>467</v>
      </c>
      <c r="V9">
        <v>1430</v>
      </c>
      <c r="X9" t="s">
        <v>16</v>
      </c>
      <c r="Y9">
        <f>382/812</f>
        <v>0.47044334975369456</v>
      </c>
      <c r="Z9">
        <f>196/240</f>
        <v>0.81666666666666665</v>
      </c>
      <c r="AA9">
        <v>116</v>
      </c>
      <c r="AB9">
        <v>1076</v>
      </c>
      <c r="AC9">
        <v>293</v>
      </c>
      <c r="AD9">
        <v>244</v>
      </c>
      <c r="AE9">
        <v>49</v>
      </c>
      <c r="AF9">
        <v>55</v>
      </c>
      <c r="AG9">
        <v>121</v>
      </c>
      <c r="AI9" s="15" t="s">
        <v>16</v>
      </c>
      <c r="AJ9" s="3" t="s">
        <v>29</v>
      </c>
      <c r="AK9" s="3" t="s">
        <v>24</v>
      </c>
      <c r="AL9" s="3" t="s">
        <v>27</v>
      </c>
      <c r="AM9" s="4" t="s">
        <v>30</v>
      </c>
      <c r="AN9" s="3" t="s">
        <v>27</v>
      </c>
      <c r="AO9" s="3" t="s">
        <v>29</v>
      </c>
      <c r="AP9" s="2" t="s">
        <v>23</v>
      </c>
      <c r="AQ9" s="3" t="s">
        <v>25</v>
      </c>
      <c r="AR9" s="3" t="s">
        <v>29</v>
      </c>
      <c r="AS9" s="9" t="s">
        <v>25</v>
      </c>
    </row>
    <row r="10" spans="2:45" ht="30" customHeight="1" x14ac:dyDescent="0.2">
      <c r="B10" t="s">
        <v>13</v>
      </c>
      <c r="C10">
        <v>0.47</v>
      </c>
      <c r="D10">
        <v>0.83399999999999996</v>
      </c>
      <c r="E10">
        <v>831</v>
      </c>
      <c r="F10">
        <v>8060</v>
      </c>
      <c r="G10">
        <v>2591</v>
      </c>
      <c r="H10">
        <v>1915</v>
      </c>
      <c r="I10">
        <v>423</v>
      </c>
      <c r="J10">
        <v>312</v>
      </c>
      <c r="K10">
        <v>941</v>
      </c>
      <c r="M10" t="s">
        <v>13</v>
      </c>
      <c r="N10">
        <v>0.47099999999999997</v>
      </c>
      <c r="O10">
        <v>0.83599999999999997</v>
      </c>
      <c r="P10">
        <v>908</v>
      </c>
      <c r="Q10">
        <v>8722</v>
      </c>
      <c r="R10">
        <v>2772</v>
      </c>
      <c r="S10">
        <v>2063</v>
      </c>
      <c r="T10">
        <v>444</v>
      </c>
      <c r="U10">
        <v>316</v>
      </c>
      <c r="V10">
        <v>1025</v>
      </c>
      <c r="X10" t="s">
        <v>13</v>
      </c>
      <c r="Y10">
        <f>228/464</f>
        <v>0.49137931034482757</v>
      </c>
      <c r="Z10">
        <f>129/150</f>
        <v>0.86</v>
      </c>
      <c r="AA10">
        <v>77</v>
      </c>
      <c r="AB10">
        <v>662</v>
      </c>
      <c r="AC10">
        <v>181</v>
      </c>
      <c r="AD10">
        <v>148</v>
      </c>
      <c r="AE10">
        <v>21</v>
      </c>
      <c r="AF10">
        <v>4</v>
      </c>
      <c r="AG10">
        <v>84</v>
      </c>
      <c r="AI10" s="15" t="s">
        <v>13</v>
      </c>
      <c r="AJ10" s="4" t="s">
        <v>31</v>
      </c>
      <c r="AK10" s="4" t="s">
        <v>26</v>
      </c>
      <c r="AL10" s="3" t="s">
        <v>29</v>
      </c>
      <c r="AM10" s="4" t="s">
        <v>30</v>
      </c>
      <c r="AN10" s="4" t="s">
        <v>26</v>
      </c>
      <c r="AO10" s="4" t="s">
        <v>26</v>
      </c>
      <c r="AP10" s="4" t="s">
        <v>26</v>
      </c>
      <c r="AQ10" s="2" t="s">
        <v>23</v>
      </c>
      <c r="AR10" s="4" t="s">
        <v>26</v>
      </c>
      <c r="AS10" s="20" t="s">
        <v>26</v>
      </c>
    </row>
    <row r="11" spans="2:45" ht="30" customHeight="1" x14ac:dyDescent="0.2">
      <c r="B11" t="s">
        <v>18</v>
      </c>
      <c r="C11">
        <v>0.46200000000000002</v>
      </c>
      <c r="D11">
        <v>0.79700000000000004</v>
      </c>
      <c r="E11">
        <v>1225</v>
      </c>
      <c r="F11">
        <v>9951</v>
      </c>
      <c r="G11">
        <v>3620</v>
      </c>
      <c r="H11">
        <v>2090</v>
      </c>
      <c r="I11">
        <v>678</v>
      </c>
      <c r="J11">
        <v>459</v>
      </c>
      <c r="K11">
        <v>1147</v>
      </c>
      <c r="M11" t="s">
        <v>18</v>
      </c>
      <c r="N11">
        <v>0.46100000000000002</v>
      </c>
      <c r="O11">
        <v>0.80100000000000005</v>
      </c>
      <c r="P11">
        <v>1332</v>
      </c>
      <c r="Q11">
        <v>10804</v>
      </c>
      <c r="R11">
        <v>3929</v>
      </c>
      <c r="S11">
        <v>2255</v>
      </c>
      <c r="T11">
        <v>736</v>
      </c>
      <c r="U11">
        <v>510</v>
      </c>
      <c r="V11">
        <v>1250</v>
      </c>
      <c r="X11" t="s">
        <v>18</v>
      </c>
      <c r="Y11">
        <f>296/671</f>
        <v>0.44113263785394935</v>
      </c>
      <c r="Z11">
        <f>154/182</f>
        <v>0.84615384615384615</v>
      </c>
      <c r="AA11">
        <v>107</v>
      </c>
      <c r="AB11">
        <v>853</v>
      </c>
      <c r="AC11">
        <v>309</v>
      </c>
      <c r="AD11">
        <v>165</v>
      </c>
      <c r="AE11">
        <v>58</v>
      </c>
      <c r="AF11">
        <v>51</v>
      </c>
      <c r="AG11">
        <v>103</v>
      </c>
      <c r="AI11" s="15" t="s">
        <v>18</v>
      </c>
      <c r="AJ11" s="4" t="s">
        <v>37</v>
      </c>
      <c r="AK11" s="3" t="s">
        <v>29</v>
      </c>
      <c r="AL11" s="3" t="s">
        <v>24</v>
      </c>
      <c r="AM11" s="4" t="s">
        <v>30</v>
      </c>
      <c r="AN11" s="3" t="s">
        <v>25</v>
      </c>
      <c r="AO11" s="3" t="s">
        <v>29</v>
      </c>
      <c r="AP11" s="4" t="s">
        <v>30</v>
      </c>
      <c r="AQ11" s="3" t="s">
        <v>25</v>
      </c>
      <c r="AR11" s="2" t="s">
        <v>23</v>
      </c>
      <c r="AS11" s="20" t="s">
        <v>30</v>
      </c>
    </row>
    <row r="12" spans="2:45" ht="30" customHeight="1" thickBot="1" x14ac:dyDescent="0.25">
      <c r="B12" t="s">
        <v>14</v>
      </c>
      <c r="C12">
        <v>0.45800000000000002</v>
      </c>
      <c r="D12">
        <v>0.8</v>
      </c>
      <c r="E12">
        <v>1389</v>
      </c>
      <c r="F12">
        <v>10983</v>
      </c>
      <c r="G12">
        <v>4144</v>
      </c>
      <c r="H12">
        <v>2579</v>
      </c>
      <c r="I12">
        <v>662</v>
      </c>
      <c r="J12">
        <v>399</v>
      </c>
      <c r="K12">
        <v>1288</v>
      </c>
      <c r="M12" t="s">
        <v>14</v>
      </c>
      <c r="N12">
        <v>0.45800000000000002</v>
      </c>
      <c r="O12">
        <v>0.80100000000000005</v>
      </c>
      <c r="P12">
        <v>1494</v>
      </c>
      <c r="Q12">
        <v>11879</v>
      </c>
      <c r="R12">
        <v>4479</v>
      </c>
      <c r="S12">
        <v>2782</v>
      </c>
      <c r="T12">
        <v>716</v>
      </c>
      <c r="U12">
        <v>422</v>
      </c>
      <c r="V12">
        <v>1381</v>
      </c>
      <c r="X12" t="s">
        <v>14</v>
      </c>
      <c r="Y12">
        <f>316/694</f>
        <v>0.45533141210374639</v>
      </c>
      <c r="Z12">
        <f>159/197</f>
        <v>0.80710659898477155</v>
      </c>
      <c r="AA12">
        <v>105</v>
      </c>
      <c r="AB12">
        <v>896</v>
      </c>
      <c r="AC12">
        <v>335</v>
      </c>
      <c r="AD12">
        <v>203</v>
      </c>
      <c r="AE12">
        <v>54</v>
      </c>
      <c r="AF12">
        <v>23</v>
      </c>
      <c r="AG12">
        <v>93</v>
      </c>
      <c r="AI12" s="16" t="s">
        <v>14</v>
      </c>
      <c r="AJ12" s="11" t="s">
        <v>30</v>
      </c>
      <c r="AK12" s="11" t="s">
        <v>30</v>
      </c>
      <c r="AL12" s="18" t="s">
        <v>24</v>
      </c>
      <c r="AM12" s="18" t="s">
        <v>29</v>
      </c>
      <c r="AN12" s="18" t="s">
        <v>25</v>
      </c>
      <c r="AO12" s="11" t="s">
        <v>36</v>
      </c>
      <c r="AP12" s="11" t="s">
        <v>26</v>
      </c>
      <c r="AQ12" s="18" t="s">
        <v>25</v>
      </c>
      <c r="AR12" s="18" t="s">
        <v>29</v>
      </c>
      <c r="AS12" s="12" t="s">
        <v>23</v>
      </c>
    </row>
  </sheetData>
  <pageMargins left="0.7" right="0.7" top="0.75" bottom="0.75" header="0.3" footer="0.3"/>
  <pageSetup orientation="portrait" horizontalDpi="0" verticalDpi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E785-427E-1A40-B276-029508AF3CAC}">
  <dimension ref="B1:AS12"/>
  <sheetViews>
    <sheetView tabSelected="1" topLeftCell="Z1" zoomScale="92" workbookViewId="0">
      <selection activeCell="U11" sqref="U11"/>
    </sheetView>
  </sheetViews>
  <sheetFormatPr baseColWidth="10" defaultRowHeight="16" x14ac:dyDescent="0.2"/>
  <sheetData>
    <row r="1" spans="2:45" ht="17" customHeight="1" thickBot="1" x14ac:dyDescent="0.25">
      <c r="B1" t="s">
        <v>20</v>
      </c>
      <c r="N1" t="s">
        <v>22</v>
      </c>
      <c r="Y1" t="s">
        <v>21</v>
      </c>
    </row>
    <row r="2" spans="2:45" ht="30" customHeight="1" x14ac:dyDescent="0.2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M2" t="s">
        <v>0</v>
      </c>
      <c r="N2" t="s">
        <v>1</v>
      </c>
      <c r="O2" t="s">
        <v>2</v>
      </c>
      <c r="P2" t="s">
        <v>3</v>
      </c>
      <c r="Q2" t="s">
        <v>4</v>
      </c>
      <c r="R2" t="s">
        <v>5</v>
      </c>
      <c r="S2" t="s">
        <v>6</v>
      </c>
      <c r="T2" t="s">
        <v>7</v>
      </c>
      <c r="U2" t="s">
        <v>8</v>
      </c>
      <c r="V2" t="s">
        <v>9</v>
      </c>
      <c r="X2" t="s">
        <v>0</v>
      </c>
      <c r="Y2" t="s">
        <v>1</v>
      </c>
      <c r="Z2" t="s">
        <v>2</v>
      </c>
      <c r="AA2" t="s">
        <v>3</v>
      </c>
      <c r="AB2" t="s">
        <v>4</v>
      </c>
      <c r="AC2" t="s">
        <v>5</v>
      </c>
      <c r="AD2" t="s">
        <v>6</v>
      </c>
      <c r="AE2" t="s">
        <v>7</v>
      </c>
      <c r="AF2" t="s">
        <v>8</v>
      </c>
      <c r="AG2" t="s">
        <v>9</v>
      </c>
      <c r="AI2" s="14" t="s">
        <v>55</v>
      </c>
      <c r="AJ2" s="6" t="s">
        <v>15</v>
      </c>
      <c r="AK2" s="6" t="s">
        <v>19</v>
      </c>
      <c r="AL2" s="6" t="s">
        <v>12</v>
      </c>
      <c r="AM2" s="6" t="s">
        <v>10</v>
      </c>
      <c r="AN2" s="6" t="s">
        <v>11</v>
      </c>
      <c r="AO2" s="6" t="s">
        <v>17</v>
      </c>
      <c r="AP2" s="6" t="s">
        <v>16</v>
      </c>
      <c r="AQ2" s="6" t="s">
        <v>13</v>
      </c>
      <c r="AR2" s="6" t="s">
        <v>18</v>
      </c>
      <c r="AS2" s="7" t="s">
        <v>14</v>
      </c>
    </row>
    <row r="3" spans="2:45" ht="30" customHeight="1" x14ac:dyDescent="0.2">
      <c r="B3" t="s">
        <v>15</v>
      </c>
      <c r="C3">
        <v>0.48899999999999999</v>
      </c>
      <c r="D3">
        <v>0.79800000000000004</v>
      </c>
      <c r="E3">
        <v>1127</v>
      </c>
      <c r="F3">
        <v>11087</v>
      </c>
      <c r="G3">
        <v>4450</v>
      </c>
      <c r="H3">
        <v>2263</v>
      </c>
      <c r="I3">
        <v>646</v>
      </c>
      <c r="J3">
        <v>438</v>
      </c>
      <c r="K3">
        <v>1161</v>
      </c>
      <c r="M3" s="22" t="s">
        <v>15</v>
      </c>
      <c r="N3" s="22">
        <v>0.49099999999999999</v>
      </c>
      <c r="O3" s="22">
        <v>0.79500000000000004</v>
      </c>
      <c r="P3" s="22">
        <v>1209</v>
      </c>
      <c r="Q3" s="22">
        <v>11866</v>
      </c>
      <c r="R3" s="22">
        <v>4751</v>
      </c>
      <c r="S3" s="22">
        <v>2424</v>
      </c>
      <c r="T3" s="22">
        <v>695</v>
      </c>
      <c r="U3" s="22">
        <v>472</v>
      </c>
      <c r="V3" s="22">
        <v>1252</v>
      </c>
      <c r="X3" t="s">
        <v>15</v>
      </c>
      <c r="Y3">
        <f>303/588</f>
        <v>0.51530612244897955</v>
      </c>
      <c r="Z3">
        <f>91/123</f>
        <v>0.73983739837398377</v>
      </c>
      <c r="AA3">
        <v>82</v>
      </c>
      <c r="AB3">
        <v>779</v>
      </c>
      <c r="AC3">
        <v>301</v>
      </c>
      <c r="AD3">
        <v>161</v>
      </c>
      <c r="AE3">
        <v>49</v>
      </c>
      <c r="AF3">
        <v>34</v>
      </c>
      <c r="AG3">
        <v>91</v>
      </c>
      <c r="AI3" s="15" t="s">
        <v>15</v>
      </c>
      <c r="AJ3" s="2" t="s">
        <v>23</v>
      </c>
      <c r="AK3" s="4" t="s">
        <v>26</v>
      </c>
      <c r="AL3" s="3" t="s">
        <v>25</v>
      </c>
      <c r="AM3" s="3" t="s">
        <v>25</v>
      </c>
      <c r="AN3" s="3" t="s">
        <v>29</v>
      </c>
      <c r="AO3" s="4" t="s">
        <v>30</v>
      </c>
      <c r="AP3" s="4" t="s">
        <v>30</v>
      </c>
      <c r="AQ3" s="3" t="s">
        <v>24</v>
      </c>
      <c r="AR3" s="3" t="s">
        <v>24</v>
      </c>
      <c r="AS3" s="9" t="s">
        <v>29</v>
      </c>
    </row>
    <row r="4" spans="2:45" ht="30" customHeight="1" x14ac:dyDescent="0.2">
      <c r="B4" t="s">
        <v>19</v>
      </c>
      <c r="C4">
        <v>0.48399999999999999</v>
      </c>
      <c r="D4">
        <v>0.82499999999999996</v>
      </c>
      <c r="E4">
        <v>1097</v>
      </c>
      <c r="F4">
        <v>10908</v>
      </c>
      <c r="G4">
        <v>3468</v>
      </c>
      <c r="H4">
        <v>2955</v>
      </c>
      <c r="I4">
        <v>690</v>
      </c>
      <c r="J4">
        <v>350</v>
      </c>
      <c r="K4">
        <v>1195</v>
      </c>
      <c r="M4" s="22" t="s">
        <v>19</v>
      </c>
      <c r="N4" s="22">
        <v>0.48499999999999999</v>
      </c>
      <c r="O4" s="22">
        <v>0.82399999999999995</v>
      </c>
      <c r="P4" s="22">
        <v>1189</v>
      </c>
      <c r="Q4" s="22">
        <v>11700</v>
      </c>
      <c r="R4" s="22">
        <v>3725</v>
      </c>
      <c r="S4" s="22">
        <v>3185</v>
      </c>
      <c r="T4" s="22">
        <v>741</v>
      </c>
      <c r="U4" s="22">
        <v>376</v>
      </c>
      <c r="V4" s="22">
        <v>1269</v>
      </c>
      <c r="X4" t="s">
        <v>19</v>
      </c>
      <c r="Y4">
        <f>297/606</f>
        <v>0.49009900990099009</v>
      </c>
      <c r="Z4">
        <f>106/132</f>
        <v>0.80303030303030298</v>
      </c>
      <c r="AA4">
        <v>92</v>
      </c>
      <c r="AB4">
        <v>792</v>
      </c>
      <c r="AC4">
        <v>257</v>
      </c>
      <c r="AD4">
        <v>230</v>
      </c>
      <c r="AE4">
        <v>51</v>
      </c>
      <c r="AF4">
        <v>26</v>
      </c>
      <c r="AG4">
        <v>74</v>
      </c>
      <c r="AI4" s="15" t="s">
        <v>19</v>
      </c>
      <c r="AJ4" s="3" t="s">
        <v>25</v>
      </c>
      <c r="AK4" s="2" t="s">
        <v>23</v>
      </c>
      <c r="AL4" s="3" t="s">
        <v>27</v>
      </c>
      <c r="AM4" s="3" t="s">
        <v>25</v>
      </c>
      <c r="AN4" s="3" t="s">
        <v>25</v>
      </c>
      <c r="AO4" s="3" t="s">
        <v>25</v>
      </c>
      <c r="AP4" s="4" t="s">
        <v>26</v>
      </c>
      <c r="AQ4" s="3" t="s">
        <v>24</v>
      </c>
      <c r="AR4" s="3" t="s">
        <v>29</v>
      </c>
      <c r="AS4" s="9" t="s">
        <v>40</v>
      </c>
    </row>
    <row r="5" spans="2:45" ht="30" customHeight="1" x14ac:dyDescent="0.2">
      <c r="B5" t="s">
        <v>12</v>
      </c>
      <c r="C5">
        <v>0.48199999999999998</v>
      </c>
      <c r="D5">
        <v>0.77200000000000002</v>
      </c>
      <c r="E5">
        <v>968</v>
      </c>
      <c r="F5">
        <v>9811</v>
      </c>
      <c r="G5">
        <v>3395</v>
      </c>
      <c r="H5">
        <v>2414</v>
      </c>
      <c r="I5">
        <v>571</v>
      </c>
      <c r="J5">
        <v>318</v>
      </c>
      <c r="K5">
        <v>1209</v>
      </c>
      <c r="M5" s="22" t="s">
        <v>12</v>
      </c>
      <c r="N5" s="22">
        <v>0.48199999999999998</v>
      </c>
      <c r="O5" s="22">
        <v>0.77500000000000002</v>
      </c>
      <c r="P5" s="22">
        <v>1012</v>
      </c>
      <c r="Q5" s="22">
        <v>10371</v>
      </c>
      <c r="R5" s="22">
        <v>3607</v>
      </c>
      <c r="S5" s="22">
        <v>2583</v>
      </c>
      <c r="T5" s="22">
        <v>603</v>
      </c>
      <c r="U5" s="22">
        <v>333</v>
      </c>
      <c r="V5" s="22">
        <v>1295</v>
      </c>
      <c r="X5" t="s">
        <v>12</v>
      </c>
      <c r="Y5">
        <f>198/409</f>
        <v>0.4841075794621027</v>
      </c>
      <c r="Z5">
        <f>120/146</f>
        <v>0.82191780821917804</v>
      </c>
      <c r="AA5">
        <v>44</v>
      </c>
      <c r="AB5">
        <v>560</v>
      </c>
      <c r="AC5">
        <v>212</v>
      </c>
      <c r="AD5">
        <v>169</v>
      </c>
      <c r="AE5">
        <v>32</v>
      </c>
      <c r="AF5">
        <v>15</v>
      </c>
      <c r="AG5">
        <v>86</v>
      </c>
      <c r="AI5" s="15" t="s">
        <v>12</v>
      </c>
      <c r="AJ5" s="4" t="s">
        <v>26</v>
      </c>
      <c r="AK5" s="4" t="s">
        <v>31</v>
      </c>
      <c r="AL5" s="2" t="s">
        <v>23</v>
      </c>
      <c r="AM5" s="4" t="s">
        <v>26</v>
      </c>
      <c r="AN5" s="4" t="s">
        <v>28</v>
      </c>
      <c r="AO5" s="4" t="s">
        <v>26</v>
      </c>
      <c r="AP5" s="4" t="s">
        <v>28</v>
      </c>
      <c r="AQ5" s="3" t="s">
        <v>24</v>
      </c>
      <c r="AR5" s="4" t="s">
        <v>26</v>
      </c>
      <c r="AS5" s="20" t="s">
        <v>26</v>
      </c>
    </row>
    <row r="6" spans="2:45" ht="30" customHeight="1" x14ac:dyDescent="0.2">
      <c r="B6" t="s">
        <v>10</v>
      </c>
      <c r="C6">
        <v>0.47899999999999998</v>
      </c>
      <c r="D6">
        <v>0.80900000000000005</v>
      </c>
      <c r="E6">
        <v>1178</v>
      </c>
      <c r="F6">
        <v>11543</v>
      </c>
      <c r="G6">
        <v>4470</v>
      </c>
      <c r="H6">
        <v>2760</v>
      </c>
      <c r="I6">
        <v>835</v>
      </c>
      <c r="J6">
        <v>540</v>
      </c>
      <c r="K6">
        <v>1543</v>
      </c>
      <c r="M6" s="22" t="s">
        <v>10</v>
      </c>
      <c r="N6" s="22">
        <v>0.47899999999999998</v>
      </c>
      <c r="O6" s="22">
        <v>0.80600000000000005</v>
      </c>
      <c r="P6" s="22">
        <v>1258</v>
      </c>
      <c r="Q6" s="22">
        <v>12295</v>
      </c>
      <c r="R6" s="22">
        <v>4757</v>
      </c>
      <c r="S6" s="22">
        <v>2934</v>
      </c>
      <c r="T6" s="22">
        <v>902</v>
      </c>
      <c r="U6" s="22">
        <v>573</v>
      </c>
      <c r="V6" s="22">
        <v>1665</v>
      </c>
      <c r="X6" t="s">
        <v>10</v>
      </c>
      <c r="Y6">
        <f>270/568</f>
        <v>0.47535211267605632</v>
      </c>
      <c r="Z6">
        <f>132/171</f>
        <v>0.77192982456140347</v>
      </c>
      <c r="AA6">
        <v>80</v>
      </c>
      <c r="AB6">
        <v>752</v>
      </c>
      <c r="AC6">
        <v>287</v>
      </c>
      <c r="AD6">
        <v>174</v>
      </c>
      <c r="AE6">
        <v>67</v>
      </c>
      <c r="AF6">
        <v>33</v>
      </c>
      <c r="AG6">
        <v>122</v>
      </c>
      <c r="AI6" s="15" t="s">
        <v>10</v>
      </c>
      <c r="AJ6" s="4" t="s">
        <v>26</v>
      </c>
      <c r="AK6" s="4" t="s">
        <v>26</v>
      </c>
      <c r="AL6" s="3" t="s">
        <v>25</v>
      </c>
      <c r="AM6" s="2" t="s">
        <v>23</v>
      </c>
      <c r="AN6" s="4" t="s">
        <v>28</v>
      </c>
      <c r="AO6" s="4" t="s">
        <v>30</v>
      </c>
      <c r="AP6" s="4" t="s">
        <v>30</v>
      </c>
      <c r="AQ6" s="3" t="s">
        <v>24</v>
      </c>
      <c r="AR6" s="3" t="s">
        <v>29</v>
      </c>
      <c r="AS6" s="9" t="s">
        <v>29</v>
      </c>
    </row>
    <row r="7" spans="2:45" ht="30" customHeight="1" x14ac:dyDescent="0.2">
      <c r="B7" t="s">
        <v>11</v>
      </c>
      <c r="C7">
        <v>0.47599999999999998</v>
      </c>
      <c r="D7">
        <v>0.73699999999999999</v>
      </c>
      <c r="E7">
        <v>1168</v>
      </c>
      <c r="F7">
        <v>11893</v>
      </c>
      <c r="G7">
        <v>4241</v>
      </c>
      <c r="H7">
        <v>2636</v>
      </c>
      <c r="I7">
        <v>696</v>
      </c>
      <c r="J7">
        <v>480</v>
      </c>
      <c r="K7">
        <v>1396</v>
      </c>
      <c r="M7" s="22" t="s">
        <v>11</v>
      </c>
      <c r="N7" s="22">
        <v>0.47599999999999998</v>
      </c>
      <c r="O7" s="22">
        <v>0.74</v>
      </c>
      <c r="P7" s="22">
        <v>1249</v>
      </c>
      <c r="Q7" s="22">
        <v>12703</v>
      </c>
      <c r="R7" s="22">
        <v>4537</v>
      </c>
      <c r="S7" s="22">
        <v>2836</v>
      </c>
      <c r="T7" s="22">
        <v>739</v>
      </c>
      <c r="U7" s="22">
        <v>509</v>
      </c>
      <c r="V7" s="22">
        <v>1481</v>
      </c>
      <c r="X7" t="s">
        <v>11</v>
      </c>
      <c r="Y7">
        <f>305/634</f>
        <v>0.48107255520504733</v>
      </c>
      <c r="Z7">
        <f>119/153</f>
        <v>0.77777777777777779</v>
      </c>
      <c r="AA7">
        <v>81</v>
      </c>
      <c r="AB7">
        <v>810</v>
      </c>
      <c r="AC7">
        <v>296</v>
      </c>
      <c r="AD7">
        <v>200</v>
      </c>
      <c r="AE7">
        <v>43</v>
      </c>
      <c r="AF7">
        <v>29</v>
      </c>
      <c r="AG7">
        <v>85</v>
      </c>
      <c r="AI7" s="15" t="s">
        <v>11</v>
      </c>
      <c r="AJ7" s="4" t="s">
        <v>30</v>
      </c>
      <c r="AK7" s="4" t="s">
        <v>26</v>
      </c>
      <c r="AL7" s="3" t="s">
        <v>24</v>
      </c>
      <c r="AM7" s="3" t="s">
        <v>24</v>
      </c>
      <c r="AN7" s="2" t="s">
        <v>23</v>
      </c>
      <c r="AO7" s="3" t="s">
        <v>29</v>
      </c>
      <c r="AP7" s="4" t="s">
        <v>26</v>
      </c>
      <c r="AQ7" s="3" t="s">
        <v>24</v>
      </c>
      <c r="AR7" s="3" t="s">
        <v>34</v>
      </c>
      <c r="AS7" s="9" t="s">
        <v>25</v>
      </c>
    </row>
    <row r="8" spans="2:45" ht="30" customHeight="1" x14ac:dyDescent="0.2">
      <c r="B8" t="s">
        <v>17</v>
      </c>
      <c r="C8">
        <v>0.47199999999999998</v>
      </c>
      <c r="D8">
        <v>0.79900000000000004</v>
      </c>
      <c r="E8">
        <v>1386</v>
      </c>
      <c r="F8">
        <v>12695</v>
      </c>
      <c r="G8">
        <v>4360</v>
      </c>
      <c r="H8">
        <v>2819</v>
      </c>
      <c r="I8">
        <v>693</v>
      </c>
      <c r="J8">
        <v>590</v>
      </c>
      <c r="K8">
        <v>1640</v>
      </c>
      <c r="M8" s="22" t="s">
        <v>17</v>
      </c>
      <c r="N8" s="22">
        <v>0.47099999999999997</v>
      </c>
      <c r="O8" s="22">
        <v>0.79900000000000004</v>
      </c>
      <c r="P8" s="22">
        <v>1476</v>
      </c>
      <c r="Q8" s="22">
        <v>13493</v>
      </c>
      <c r="R8" s="22">
        <v>4625</v>
      </c>
      <c r="S8" s="22">
        <v>3038</v>
      </c>
      <c r="T8" s="22">
        <v>749</v>
      </c>
      <c r="U8" s="22">
        <v>612</v>
      </c>
      <c r="V8" s="22">
        <v>1743</v>
      </c>
      <c r="X8" t="s">
        <v>17</v>
      </c>
      <c r="Y8">
        <f>292/645</f>
        <v>0.45271317829457364</v>
      </c>
      <c r="Z8">
        <f>124/155</f>
        <v>0.8</v>
      </c>
      <c r="AA8">
        <v>90</v>
      </c>
      <c r="AB8">
        <v>798</v>
      </c>
      <c r="AC8">
        <v>265</v>
      </c>
      <c r="AD8">
        <v>219</v>
      </c>
      <c r="AE8">
        <v>56</v>
      </c>
      <c r="AF8">
        <v>22</v>
      </c>
      <c r="AG8">
        <v>103</v>
      </c>
      <c r="AI8" s="15" t="s">
        <v>17</v>
      </c>
      <c r="AJ8" s="3" t="s">
        <v>29</v>
      </c>
      <c r="AK8" s="4" t="s">
        <v>26</v>
      </c>
      <c r="AL8" s="3" t="s">
        <v>25</v>
      </c>
      <c r="AM8" s="3" t="s">
        <v>29</v>
      </c>
      <c r="AN8" s="4" t="s">
        <v>30</v>
      </c>
      <c r="AO8" s="2" t="s">
        <v>23</v>
      </c>
      <c r="AP8" s="4" t="s">
        <v>26</v>
      </c>
      <c r="AQ8" s="3" t="s">
        <v>24</v>
      </c>
      <c r="AR8" s="4" t="s">
        <v>30</v>
      </c>
      <c r="AS8" s="9" t="s">
        <v>25</v>
      </c>
    </row>
    <row r="9" spans="2:45" ht="30" customHeight="1" x14ac:dyDescent="0.2">
      <c r="B9" t="s">
        <v>16</v>
      </c>
      <c r="C9">
        <v>0.47199999999999998</v>
      </c>
      <c r="D9">
        <v>0.81100000000000005</v>
      </c>
      <c r="E9">
        <v>1311</v>
      </c>
      <c r="F9">
        <v>12003</v>
      </c>
      <c r="G9">
        <v>3711</v>
      </c>
      <c r="H9">
        <v>2980</v>
      </c>
      <c r="I9">
        <v>798</v>
      </c>
      <c r="J9">
        <v>467</v>
      </c>
      <c r="K9">
        <v>1430</v>
      </c>
      <c r="M9" s="22" t="s">
        <v>16</v>
      </c>
      <c r="N9" s="22">
        <v>0.47099999999999997</v>
      </c>
      <c r="O9" s="22">
        <v>0.81299999999999994</v>
      </c>
      <c r="P9" s="22">
        <v>1409</v>
      </c>
      <c r="Q9" s="22">
        <v>12898</v>
      </c>
      <c r="R9" s="22">
        <v>3977</v>
      </c>
      <c r="S9" s="22">
        <v>3185</v>
      </c>
      <c r="T9" s="22">
        <v>853</v>
      </c>
      <c r="U9" s="22">
        <v>498</v>
      </c>
      <c r="V9" s="22">
        <v>1548</v>
      </c>
      <c r="X9" t="s">
        <v>16</v>
      </c>
      <c r="Y9">
        <f>317/697</f>
        <v>0.45480631276901007</v>
      </c>
      <c r="Z9">
        <f>163/197</f>
        <v>0.82741116751269039</v>
      </c>
      <c r="AA9">
        <v>98</v>
      </c>
      <c r="AB9">
        <v>895</v>
      </c>
      <c r="AC9">
        <v>266</v>
      </c>
      <c r="AD9">
        <v>205</v>
      </c>
      <c r="AE9">
        <v>55</v>
      </c>
      <c r="AF9">
        <v>31</v>
      </c>
      <c r="AG9">
        <v>118</v>
      </c>
      <c r="AI9" s="15" t="s">
        <v>16</v>
      </c>
      <c r="AJ9" s="3" t="s">
        <v>29</v>
      </c>
      <c r="AK9" s="3" t="s">
        <v>25</v>
      </c>
      <c r="AL9" s="3" t="s">
        <v>24</v>
      </c>
      <c r="AM9" s="3" t="s">
        <v>29</v>
      </c>
      <c r="AN9" s="3" t="s">
        <v>25</v>
      </c>
      <c r="AO9" s="3" t="s">
        <v>25</v>
      </c>
      <c r="AP9" s="2" t="s">
        <v>23</v>
      </c>
      <c r="AQ9" s="3" t="s">
        <v>24</v>
      </c>
      <c r="AR9" s="3" t="s">
        <v>25</v>
      </c>
      <c r="AS9" s="9" t="s">
        <v>24</v>
      </c>
    </row>
    <row r="10" spans="2:45" ht="30" customHeight="1" x14ac:dyDescent="0.2">
      <c r="B10" t="s">
        <v>13</v>
      </c>
      <c r="C10">
        <v>0.47099999999999997</v>
      </c>
      <c r="D10">
        <v>0.83599999999999997</v>
      </c>
      <c r="E10">
        <v>908</v>
      </c>
      <c r="F10">
        <v>8722</v>
      </c>
      <c r="G10">
        <v>2772</v>
      </c>
      <c r="H10">
        <v>2063</v>
      </c>
      <c r="I10">
        <v>444</v>
      </c>
      <c r="J10">
        <v>316</v>
      </c>
      <c r="K10">
        <v>1025</v>
      </c>
      <c r="M10" s="22" t="s">
        <v>13</v>
      </c>
      <c r="N10" s="22">
        <v>0.47</v>
      </c>
      <c r="O10" s="22">
        <v>0.83799999999999997</v>
      </c>
      <c r="P10" s="22">
        <v>945</v>
      </c>
      <c r="Q10" s="22">
        <v>9059</v>
      </c>
      <c r="R10" s="22">
        <v>2868</v>
      </c>
      <c r="S10" s="22">
        <v>2159</v>
      </c>
      <c r="T10" s="22">
        <v>466</v>
      </c>
      <c r="U10" s="22">
        <v>323</v>
      </c>
      <c r="V10" s="22">
        <v>1063</v>
      </c>
      <c r="X10" t="s">
        <v>13</v>
      </c>
      <c r="Y10">
        <f>115/256</f>
        <v>0.44921875</v>
      </c>
      <c r="Z10">
        <f>70/79</f>
        <v>0.88607594936708856</v>
      </c>
      <c r="AA10">
        <v>37</v>
      </c>
      <c r="AB10">
        <v>337</v>
      </c>
      <c r="AC10">
        <v>96</v>
      </c>
      <c r="AD10">
        <v>96</v>
      </c>
      <c r="AE10">
        <v>22</v>
      </c>
      <c r="AF10">
        <v>7</v>
      </c>
      <c r="AG10">
        <v>38</v>
      </c>
      <c r="AI10" s="15" t="s">
        <v>13</v>
      </c>
      <c r="AJ10" s="4" t="s">
        <v>28</v>
      </c>
      <c r="AK10" s="4" t="s">
        <v>28</v>
      </c>
      <c r="AL10" s="4" t="s">
        <v>28</v>
      </c>
      <c r="AM10" s="4" t="s">
        <v>28</v>
      </c>
      <c r="AN10" s="4" t="s">
        <v>28</v>
      </c>
      <c r="AO10" s="4" t="s">
        <v>28</v>
      </c>
      <c r="AP10" s="4" t="s">
        <v>28</v>
      </c>
      <c r="AQ10" s="2" t="s">
        <v>23</v>
      </c>
      <c r="AR10" s="4" t="s">
        <v>28</v>
      </c>
      <c r="AS10" s="20" t="s">
        <v>28</v>
      </c>
    </row>
    <row r="11" spans="2:45" ht="30" customHeight="1" x14ac:dyDescent="0.2">
      <c r="B11" t="s">
        <v>18</v>
      </c>
      <c r="C11">
        <v>0.46100000000000002</v>
      </c>
      <c r="D11">
        <v>0.80100000000000005</v>
      </c>
      <c r="E11">
        <v>1332</v>
      </c>
      <c r="F11">
        <v>10804</v>
      </c>
      <c r="G11">
        <v>3929</v>
      </c>
      <c r="H11">
        <v>2255</v>
      </c>
      <c r="I11">
        <v>736</v>
      </c>
      <c r="J11">
        <v>510</v>
      </c>
      <c r="K11">
        <v>1250</v>
      </c>
      <c r="M11" s="22" t="s">
        <v>18</v>
      </c>
      <c r="N11" s="22">
        <v>0.46200000000000002</v>
      </c>
      <c r="O11" s="22">
        <v>0.80200000000000005</v>
      </c>
      <c r="P11" s="22">
        <v>1409</v>
      </c>
      <c r="Q11" s="22">
        <v>11501</v>
      </c>
      <c r="R11" s="22">
        <v>4226</v>
      </c>
      <c r="S11" s="22">
        <v>2382</v>
      </c>
      <c r="T11" s="22">
        <v>777</v>
      </c>
      <c r="U11" s="22">
        <v>539</v>
      </c>
      <c r="V11" s="22">
        <v>1321</v>
      </c>
      <c r="X11" t="s">
        <v>18</v>
      </c>
      <c r="Y11">
        <f>249/520</f>
        <v>0.47884615384615387</v>
      </c>
      <c r="Z11">
        <f>122/150</f>
        <v>0.81333333333333335</v>
      </c>
      <c r="AA11">
        <v>77</v>
      </c>
      <c r="AB11">
        <v>697</v>
      </c>
      <c r="AC11">
        <v>297</v>
      </c>
      <c r="AD11">
        <v>127</v>
      </c>
      <c r="AE11">
        <v>41</v>
      </c>
      <c r="AF11">
        <v>29</v>
      </c>
      <c r="AG11">
        <v>71</v>
      </c>
      <c r="AI11" s="15" t="s">
        <v>18</v>
      </c>
      <c r="AJ11" s="4" t="s">
        <v>28</v>
      </c>
      <c r="AK11" s="4" t="s">
        <v>30</v>
      </c>
      <c r="AL11" s="3" t="s">
        <v>25</v>
      </c>
      <c r="AM11" s="4" t="s">
        <v>30</v>
      </c>
      <c r="AN11" s="4" t="s">
        <v>37</v>
      </c>
      <c r="AO11" s="3" t="s">
        <v>29</v>
      </c>
      <c r="AP11" s="4" t="s">
        <v>26</v>
      </c>
      <c r="AQ11" s="3" t="s">
        <v>24</v>
      </c>
      <c r="AR11" s="2" t="s">
        <v>23</v>
      </c>
      <c r="AS11" s="9" t="s">
        <v>25</v>
      </c>
    </row>
    <row r="12" spans="2:45" ht="30" customHeight="1" thickBot="1" x14ac:dyDescent="0.25">
      <c r="B12" t="s">
        <v>14</v>
      </c>
      <c r="C12">
        <v>0.45800000000000002</v>
      </c>
      <c r="D12">
        <v>0.80100000000000005</v>
      </c>
      <c r="E12">
        <v>1494</v>
      </c>
      <c r="F12">
        <v>11879</v>
      </c>
      <c r="G12">
        <v>4479</v>
      </c>
      <c r="H12">
        <v>2782</v>
      </c>
      <c r="I12">
        <v>716</v>
      </c>
      <c r="J12">
        <v>422</v>
      </c>
      <c r="K12">
        <v>1381</v>
      </c>
      <c r="M12" s="22" t="s">
        <v>14</v>
      </c>
      <c r="N12" s="22">
        <v>0.45900000000000002</v>
      </c>
      <c r="O12" s="22">
        <v>0.80100000000000005</v>
      </c>
      <c r="P12" s="22">
        <v>1581</v>
      </c>
      <c r="Q12" s="22">
        <v>12614</v>
      </c>
      <c r="R12" s="22">
        <v>4710</v>
      </c>
      <c r="S12" s="22">
        <v>2946</v>
      </c>
      <c r="T12" s="22">
        <v>752</v>
      </c>
      <c r="U12" s="22">
        <v>442</v>
      </c>
      <c r="V12" s="22">
        <v>1462</v>
      </c>
      <c r="X12" t="s">
        <v>14</v>
      </c>
      <c r="Y12">
        <f>265/554</f>
        <v>0.47833935018050544</v>
      </c>
      <c r="Z12">
        <f>118/147</f>
        <v>0.80272108843537415</v>
      </c>
      <c r="AA12">
        <v>87</v>
      </c>
      <c r="AB12">
        <v>735</v>
      </c>
      <c r="AC12">
        <v>231</v>
      </c>
      <c r="AD12">
        <v>164</v>
      </c>
      <c r="AE12">
        <v>36</v>
      </c>
      <c r="AF12">
        <v>20</v>
      </c>
      <c r="AG12">
        <v>81</v>
      </c>
      <c r="AI12" s="16" t="s">
        <v>14</v>
      </c>
      <c r="AJ12" s="11" t="s">
        <v>30</v>
      </c>
      <c r="AK12" s="11" t="s">
        <v>41</v>
      </c>
      <c r="AL12" s="18" t="s">
        <v>25</v>
      </c>
      <c r="AM12" s="11" t="s">
        <v>30</v>
      </c>
      <c r="AN12" s="11" t="s">
        <v>26</v>
      </c>
      <c r="AO12" s="11" t="s">
        <v>26</v>
      </c>
      <c r="AP12" s="11" t="s">
        <v>28</v>
      </c>
      <c r="AQ12" s="18" t="s">
        <v>24</v>
      </c>
      <c r="AR12" s="11" t="s">
        <v>26</v>
      </c>
      <c r="AS12" s="12" t="s">
        <v>23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 &amp; 9</vt:lpstr>
      <vt:lpstr>Week 10</vt:lpstr>
      <vt:lpstr>Week 11</vt:lpstr>
      <vt:lpstr>Week 12</vt:lpstr>
      <vt:lpstr>Week 14</vt:lpstr>
      <vt:lpstr>Week 15</vt:lpstr>
      <vt:lpstr>Week 16</vt:lpstr>
      <vt:lpstr>Week 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Ayden Chen</dc:creator>
  <cp:lastModifiedBy>Ayden Chen</cp:lastModifiedBy>
  <dcterms:created xsi:type="dcterms:W3CDTF">2024-10-31T15:04:29Z</dcterms:created>
  <dcterms:modified xsi:type="dcterms:W3CDTF">2025-10-26T16:06:01Z</dcterms:modified>
</cp:coreProperties>
</file>